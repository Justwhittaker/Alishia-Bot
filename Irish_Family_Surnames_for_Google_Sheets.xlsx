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open in Google Sheets" sheetId="1" state="visible" r:id="rId1"/>
    <sheet name="Surnames" sheetId="2" state="visible" r:id="rId2"/>
  </sheets>
  <definedNames>
    <definedName name="_xlnm._FilterDatabase" localSheetId="1" hidden="1">'Surnames'!$A$1:$E$401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563C1"/>
      <u val="single"/>
    </font>
    <font>
      <name val="Calibri"/>
      <b val="1"/>
      <color rgb="00FFFFFF"/>
      <sz val="11"/>
    </font>
    <font>
      <b val="1"/>
      <color rgb="000F4C3A"/>
      <sz val="16"/>
    </font>
  </fonts>
  <fills count="3">
    <fill>
      <patternFill/>
    </fill>
    <fill>
      <patternFill patternType="gray125"/>
    </fill>
    <fill>
      <patternFill patternType="solid">
        <fgColor rgb="000F4C3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rishfamilysurnames.com/product/ahern/" TargetMode="External" Id="rId1" /><Relationship Type="http://schemas.openxmlformats.org/officeDocument/2006/relationships/hyperlink" Target="https://irishfamilysurnames.com/wp-content/uploads/2021/04/ahern-B-H.jpg" TargetMode="External" Id="rId2" /><Relationship Type="http://schemas.openxmlformats.org/officeDocument/2006/relationships/hyperlink" Target="https://irishfamilysurnames.com/product/aherne/" TargetMode="External" Id="rId3" /><Relationship Type="http://schemas.openxmlformats.org/officeDocument/2006/relationships/hyperlink" Target="https://irishfamilysurnames.com/wp-content/uploads/2021/04/aherne-B-H.jpg" TargetMode="External" Id="rId4" /><Relationship Type="http://schemas.openxmlformats.org/officeDocument/2006/relationships/hyperlink" Target="https://irishfamilysurnames.com/product/allen/" TargetMode="External" Id="rId5" /><Relationship Type="http://schemas.openxmlformats.org/officeDocument/2006/relationships/hyperlink" Target="https://irishfamilysurnames.com/wp-content/uploads/2021/04/allen-B-H.jpg" TargetMode="External" Id="rId6" /><Relationship Type="http://schemas.openxmlformats.org/officeDocument/2006/relationships/hyperlink" Target="https://irishfamilysurnames.com/product/barrett/" TargetMode="External" Id="rId7" /><Relationship Type="http://schemas.openxmlformats.org/officeDocument/2006/relationships/hyperlink" Target="https://irishfamilysurnames.com/wp-content/uploads/2021/04/barrett-B-H.jpg" TargetMode="External" Id="rId8" /><Relationship Type="http://schemas.openxmlformats.org/officeDocument/2006/relationships/hyperlink" Target="https://irishfamilysurnames.com/product/barry/" TargetMode="External" Id="rId9" /><Relationship Type="http://schemas.openxmlformats.org/officeDocument/2006/relationships/hyperlink" Target="https://irishfamilysurnames.com/wp-content/uploads/2021/04/barry-B-H.jpg" TargetMode="External" Id="rId10" /><Relationship Type="http://schemas.openxmlformats.org/officeDocument/2006/relationships/hyperlink" Target="https://irishfamilysurnames.com/product/behan/" TargetMode="External" Id="rId11" /><Relationship Type="http://schemas.openxmlformats.org/officeDocument/2006/relationships/hyperlink" Target="https://irishfamilysurnames.com/wp-content/uploads/2021/04/behan-B-H.jpg" TargetMode="External" Id="rId12" /><Relationship Type="http://schemas.openxmlformats.org/officeDocument/2006/relationships/hyperlink" Target="https://irishfamilysurnames.com/product/bell/" TargetMode="External" Id="rId13" /><Relationship Type="http://schemas.openxmlformats.org/officeDocument/2006/relationships/hyperlink" Target="https://irishfamilysurnames.com/wp-content/uploads/2021/04/bell-B-H.jpg" TargetMode="External" Id="rId14" /><Relationship Type="http://schemas.openxmlformats.org/officeDocument/2006/relationships/hyperlink" Target="https://irishfamilysurnames.com/product/blake/" TargetMode="External" Id="rId15" /><Relationship Type="http://schemas.openxmlformats.org/officeDocument/2006/relationships/hyperlink" Target="https://irishfamilysurnames.com/wp-content/uploads/2021/04/blake-B-H.jpg" TargetMode="External" Id="rId16" /><Relationship Type="http://schemas.openxmlformats.org/officeDocument/2006/relationships/hyperlink" Target="https://irishfamilysurnames.com/product/boland/" TargetMode="External" Id="rId17" /><Relationship Type="http://schemas.openxmlformats.org/officeDocument/2006/relationships/hyperlink" Target="https://irishfamilysurnames.com/wp-content/uploads/2021/04/boland-B-H.jpg" TargetMode="External" Id="rId18" /><Relationship Type="http://schemas.openxmlformats.org/officeDocument/2006/relationships/hyperlink" Target="https://irishfamilysurnames.com/product/bolger/" TargetMode="External" Id="rId19" /><Relationship Type="http://schemas.openxmlformats.org/officeDocument/2006/relationships/hyperlink" Target="https://irishfamilysurnames.com/wp-content/uploads/2021/04/bolger-B-H.jpg" TargetMode="External" Id="rId20" /><Relationship Type="http://schemas.openxmlformats.org/officeDocument/2006/relationships/hyperlink" Target="https://irishfamilysurnames.com/product/bourke/" TargetMode="External" Id="rId21" /><Relationship Type="http://schemas.openxmlformats.org/officeDocument/2006/relationships/hyperlink" Target="https://irishfamilysurnames.com/wp-content/uploads/2021/04/bourke-B-H.jpg" TargetMode="External" Id="rId22" /><Relationship Type="http://schemas.openxmlformats.org/officeDocument/2006/relationships/hyperlink" Target="https://irishfamilysurnames.com/product/boylan/" TargetMode="External" Id="rId23" /><Relationship Type="http://schemas.openxmlformats.org/officeDocument/2006/relationships/hyperlink" Target="https://irishfamilysurnames.com/wp-content/uploads/2021/04/boylan-B-H.jpg" TargetMode="External" Id="rId24" /><Relationship Type="http://schemas.openxmlformats.org/officeDocument/2006/relationships/hyperlink" Target="https://irishfamilysurnames.com/product/boyle/" TargetMode="External" Id="rId25" /><Relationship Type="http://schemas.openxmlformats.org/officeDocument/2006/relationships/hyperlink" Target="https://irishfamilysurnames.com/wp-content/uploads/2021/04/boyle-B-H.jpg" TargetMode="External" Id="rId26" /><Relationship Type="http://schemas.openxmlformats.org/officeDocument/2006/relationships/hyperlink" Target="https://irishfamilysurnames.com/product/bradley/" TargetMode="External" Id="rId27" /><Relationship Type="http://schemas.openxmlformats.org/officeDocument/2006/relationships/hyperlink" Target="https://irishfamilysurnames.com/wp-content/uploads/2021/04/bradley-B-H.jpg" TargetMode="External" Id="rId28" /><Relationship Type="http://schemas.openxmlformats.org/officeDocument/2006/relationships/hyperlink" Target="https://irishfamilysurnames.com/product/brady/" TargetMode="External" Id="rId29" /><Relationship Type="http://schemas.openxmlformats.org/officeDocument/2006/relationships/hyperlink" Target="https://irishfamilysurnames.com/wp-content/uploads/2021/04/brady-B-H.jpg" TargetMode="External" Id="rId30" /><Relationship Type="http://schemas.openxmlformats.org/officeDocument/2006/relationships/hyperlink" Target="https://irishfamilysurnames.com/product/brennan/" TargetMode="External" Id="rId31" /><Relationship Type="http://schemas.openxmlformats.org/officeDocument/2006/relationships/hyperlink" Target="https://irishfamilysurnames.com/wp-content/uploads/2021/04/brennan-B-H.jpg" TargetMode="External" Id="rId32" /><Relationship Type="http://schemas.openxmlformats.org/officeDocument/2006/relationships/hyperlink" Target="https://irishfamilysurnames.com/product/brien/" TargetMode="External" Id="rId33" /><Relationship Type="http://schemas.openxmlformats.org/officeDocument/2006/relationships/hyperlink" Target="https://irishfamilysurnames.com/wp-content/uploads/2021/04/brien-B-H.jpg" TargetMode="External" Id="rId34" /><Relationship Type="http://schemas.openxmlformats.org/officeDocument/2006/relationships/hyperlink" Target="https://irishfamilysurnames.com/product/brophy/" TargetMode="External" Id="rId35" /><Relationship Type="http://schemas.openxmlformats.org/officeDocument/2006/relationships/hyperlink" Target="https://irishfamilysurnames.com/wp-content/uploads/2021/04/brophy-B-H.jpg" TargetMode="External" Id="rId36" /><Relationship Type="http://schemas.openxmlformats.org/officeDocument/2006/relationships/hyperlink" Target="https://irishfamilysurnames.com/product/brown/" TargetMode="External" Id="rId37" /><Relationship Type="http://schemas.openxmlformats.org/officeDocument/2006/relationships/hyperlink" Target="https://irishfamilysurnames.com/wp-content/uploads/2021/04/brown-B-H.jpg" TargetMode="External" Id="rId38" /><Relationship Type="http://schemas.openxmlformats.org/officeDocument/2006/relationships/hyperlink" Target="https://irishfamilysurnames.com/product/browne/" TargetMode="External" Id="rId39" /><Relationship Type="http://schemas.openxmlformats.org/officeDocument/2006/relationships/hyperlink" Target="https://irishfamilysurnames.com/wp-content/uploads/2021/04/browne-B-H.jpg" TargetMode="External" Id="rId40" /><Relationship Type="http://schemas.openxmlformats.org/officeDocument/2006/relationships/hyperlink" Target="https://irishfamilysurnames.com/product/buckley/" TargetMode="External" Id="rId41" /><Relationship Type="http://schemas.openxmlformats.org/officeDocument/2006/relationships/hyperlink" Target="https://irishfamilysurnames.com/wp-content/uploads/2021/04/buckley-B-H.jpg" TargetMode="External" Id="rId42" /><Relationship Type="http://schemas.openxmlformats.org/officeDocument/2006/relationships/hyperlink" Target="https://irishfamilysurnames.com/product/burk/" TargetMode="External" Id="rId43" /><Relationship Type="http://schemas.openxmlformats.org/officeDocument/2006/relationships/hyperlink" Target="https://irishfamilysurnames.com/wp-content/uploads/2021/04/burk-B-H.jpg" TargetMode="External" Id="rId44" /><Relationship Type="http://schemas.openxmlformats.org/officeDocument/2006/relationships/hyperlink" Target="https://irishfamilysurnames.com/product/burke/" TargetMode="External" Id="rId45" /><Relationship Type="http://schemas.openxmlformats.org/officeDocument/2006/relationships/hyperlink" Target="https://irishfamilysurnames.com/wp-content/uploads/2021/04/burke-B-H.jpg" TargetMode="External" Id="rId46" /><Relationship Type="http://schemas.openxmlformats.org/officeDocument/2006/relationships/hyperlink" Target="https://irishfamilysurnames.com/product/burns/" TargetMode="External" Id="rId47" /><Relationship Type="http://schemas.openxmlformats.org/officeDocument/2006/relationships/hyperlink" Target="https://irishfamilysurnames.com/wp-content/uploads/2021/04/burns-B-H.jpg" TargetMode="External" Id="rId48" /><Relationship Type="http://schemas.openxmlformats.org/officeDocument/2006/relationships/hyperlink" Target="https://irishfamilysurnames.com/product/butler/" TargetMode="External" Id="rId49" /><Relationship Type="http://schemas.openxmlformats.org/officeDocument/2006/relationships/hyperlink" Target="https://irishfamilysurnames.com/wp-content/uploads/2021/04/butler-B-H.jpg" TargetMode="External" Id="rId50" /><Relationship Type="http://schemas.openxmlformats.org/officeDocument/2006/relationships/hyperlink" Target="https://irishfamilysurnames.com/product/byrne/" TargetMode="External" Id="rId51" /><Relationship Type="http://schemas.openxmlformats.org/officeDocument/2006/relationships/hyperlink" Target="https://irishfamilysurnames.com/wp-content/uploads/2021/04/byrne-B-H.jpg" TargetMode="External" Id="rId52" /><Relationship Type="http://schemas.openxmlformats.org/officeDocument/2006/relationships/hyperlink" Target="https://irishfamilysurnames.com/product/cahill/" TargetMode="External" Id="rId53" /><Relationship Type="http://schemas.openxmlformats.org/officeDocument/2006/relationships/hyperlink" Target="https://irishfamilysurnames.com/wp-content/uploads/2021/04/cahill-B-H.jpg" TargetMode="External" Id="rId54" /><Relationship Type="http://schemas.openxmlformats.org/officeDocument/2006/relationships/hyperlink" Target="https://irishfamilysurnames.com/product/callaghan/" TargetMode="External" Id="rId55" /><Relationship Type="http://schemas.openxmlformats.org/officeDocument/2006/relationships/hyperlink" Target="https://irishfamilysurnames.com/wp-content/uploads/2021/04/callaghan-B-H.jpg" TargetMode="External" Id="rId56" /><Relationship Type="http://schemas.openxmlformats.org/officeDocument/2006/relationships/hyperlink" Target="https://irishfamilysurnames.com/product/callahan/" TargetMode="External" Id="rId57" /><Relationship Type="http://schemas.openxmlformats.org/officeDocument/2006/relationships/hyperlink" Target="https://irishfamilysurnames.com/wp-content/uploads/2021/04/callahan-B-H-1.jpg" TargetMode="External" Id="rId58" /><Relationship Type="http://schemas.openxmlformats.org/officeDocument/2006/relationships/hyperlink" Target="https://irishfamilysurnames.com/product/campbell/" TargetMode="External" Id="rId59" /><Relationship Type="http://schemas.openxmlformats.org/officeDocument/2006/relationships/hyperlink" Target="https://irishfamilysurnames.com/wp-content/uploads/2021/04/campbell-B-H.jpg" TargetMode="External" Id="rId60" /><Relationship Type="http://schemas.openxmlformats.org/officeDocument/2006/relationships/hyperlink" Target="https://irishfamilysurnames.com/product/carey/" TargetMode="External" Id="rId61" /><Relationship Type="http://schemas.openxmlformats.org/officeDocument/2006/relationships/hyperlink" Target="https://irishfamilysurnames.com/wp-content/uploads/2021/04/carey-B-H.jpg" TargetMode="External" Id="rId62" /><Relationship Type="http://schemas.openxmlformats.org/officeDocument/2006/relationships/hyperlink" Target="https://irishfamilysurnames.com/product/carney/" TargetMode="External" Id="rId63" /><Relationship Type="http://schemas.openxmlformats.org/officeDocument/2006/relationships/hyperlink" Target="https://irishfamilysurnames.com/wp-content/uploads/2021/04/carney-B-H.jpg" TargetMode="External" Id="rId64" /><Relationship Type="http://schemas.openxmlformats.org/officeDocument/2006/relationships/hyperlink" Target="https://irishfamilysurnames.com/product/carr/" TargetMode="External" Id="rId65" /><Relationship Type="http://schemas.openxmlformats.org/officeDocument/2006/relationships/hyperlink" Target="https://irishfamilysurnames.com/wp-content/uploads/2021/04/carr-B-H.jpg" TargetMode="External" Id="rId66" /><Relationship Type="http://schemas.openxmlformats.org/officeDocument/2006/relationships/hyperlink" Target="https://irishfamilysurnames.com/product/carroll/" TargetMode="External" Id="rId67" /><Relationship Type="http://schemas.openxmlformats.org/officeDocument/2006/relationships/hyperlink" Target="https://irishfamilysurnames.com/wp-content/uploads/2021/04/carroll-B-H.jpg" TargetMode="External" Id="rId68" /><Relationship Type="http://schemas.openxmlformats.org/officeDocument/2006/relationships/hyperlink" Target="https://irishfamilysurnames.com/product/carthy/" TargetMode="External" Id="rId69" /><Relationship Type="http://schemas.openxmlformats.org/officeDocument/2006/relationships/hyperlink" Target="https://irishfamilysurnames.com/wp-content/uploads/2021/04/carthy-B-H.jpg" TargetMode="External" Id="rId70" /><Relationship Type="http://schemas.openxmlformats.org/officeDocument/2006/relationships/hyperlink" Target="https://irishfamilysurnames.com/product/cary/" TargetMode="External" Id="rId71" /><Relationship Type="http://schemas.openxmlformats.org/officeDocument/2006/relationships/hyperlink" Target="https://irishfamilysurnames.com/wp-content/uploads/2021/04/cary-B-H.jpg" TargetMode="External" Id="rId72" /><Relationship Type="http://schemas.openxmlformats.org/officeDocument/2006/relationships/hyperlink" Target="https://irishfamilysurnames.com/product/casey/" TargetMode="External" Id="rId73" /><Relationship Type="http://schemas.openxmlformats.org/officeDocument/2006/relationships/hyperlink" Target="https://irishfamilysurnames.com/wp-content/uploads/2021/04/casey-B-H.jpg" TargetMode="External" Id="rId74" /><Relationship Type="http://schemas.openxmlformats.org/officeDocument/2006/relationships/hyperlink" Target="https://irishfamilysurnames.com/product/cassidy/" TargetMode="External" Id="rId75" /><Relationship Type="http://schemas.openxmlformats.org/officeDocument/2006/relationships/hyperlink" Target="https://irishfamilysurnames.com/wp-content/uploads/2021/04/cassidy-B-H.jpg" TargetMode="External" Id="rId76" /><Relationship Type="http://schemas.openxmlformats.org/officeDocument/2006/relationships/hyperlink" Target="https://irishfamilysurnames.com/product/cavanagh/" TargetMode="External" Id="rId77" /><Relationship Type="http://schemas.openxmlformats.org/officeDocument/2006/relationships/hyperlink" Target="https://irishfamilysurnames.com/wp-content/uploads/2021/04/cavanagh-B-H.jpg" TargetMode="External" Id="rId78" /><Relationship Type="http://schemas.openxmlformats.org/officeDocument/2006/relationships/hyperlink" Target="https://irishfamilysurnames.com/product/cavanaugh/" TargetMode="External" Id="rId79" /><Relationship Type="http://schemas.openxmlformats.org/officeDocument/2006/relationships/hyperlink" Target="https://irishfamilysurnames.com/wp-content/uploads/2021/04/cavanaugh-B-H.jpg" TargetMode="External" Id="rId80" /><Relationship Type="http://schemas.openxmlformats.org/officeDocument/2006/relationships/hyperlink" Target="https://irishfamilysurnames.com/product/clancy/" TargetMode="External" Id="rId81" /><Relationship Type="http://schemas.openxmlformats.org/officeDocument/2006/relationships/hyperlink" Target="https://irishfamilysurnames.com/wp-content/uploads/2021/04/clancy-B-H.jpg" TargetMode="External" Id="rId82" /><Relationship Type="http://schemas.openxmlformats.org/officeDocument/2006/relationships/hyperlink" Target="https://irishfamilysurnames.com/product/clark/" TargetMode="External" Id="rId83" /><Relationship Type="http://schemas.openxmlformats.org/officeDocument/2006/relationships/hyperlink" Target="https://irishfamilysurnames.com/wp-content/uploads/2021/04/clark-B-H.jpg" TargetMode="External" Id="rId84" /><Relationship Type="http://schemas.openxmlformats.org/officeDocument/2006/relationships/hyperlink" Target="https://irishfamilysurnames.com/product/clarke/" TargetMode="External" Id="rId85" /><Relationship Type="http://schemas.openxmlformats.org/officeDocument/2006/relationships/hyperlink" Target="https://irishfamilysurnames.com/wp-content/uploads/2021/04/clarke-B-H.jpg" TargetMode="External" Id="rId86" /><Relationship Type="http://schemas.openxmlformats.org/officeDocument/2006/relationships/hyperlink" Target="https://irishfamilysurnames.com/product/cleary/" TargetMode="External" Id="rId87" /><Relationship Type="http://schemas.openxmlformats.org/officeDocument/2006/relationships/hyperlink" Target="https://irishfamilysurnames.com/wp-content/uploads/2021/04/cleary-B-H.jpg" TargetMode="External" Id="rId88" /><Relationship Type="http://schemas.openxmlformats.org/officeDocument/2006/relationships/hyperlink" Target="https://irishfamilysurnames.com/product/clery/" TargetMode="External" Id="rId89" /><Relationship Type="http://schemas.openxmlformats.org/officeDocument/2006/relationships/hyperlink" Target="https://irishfamilysurnames.com/wp-content/uploads/2021/04/clery-B-H.jpg" TargetMode="External" Id="rId90" /><Relationship Type="http://schemas.openxmlformats.org/officeDocument/2006/relationships/hyperlink" Target="https://irishfamilysurnames.com/product/coffey/" TargetMode="External" Id="rId91" /><Relationship Type="http://schemas.openxmlformats.org/officeDocument/2006/relationships/hyperlink" Target="https://irishfamilysurnames.com/wp-content/uploads/2021/04/coffey-B-H.jpg" TargetMode="External" Id="rId92" /><Relationship Type="http://schemas.openxmlformats.org/officeDocument/2006/relationships/hyperlink" Target="https://irishfamilysurnames.com/product/coleman/" TargetMode="External" Id="rId93" /><Relationship Type="http://schemas.openxmlformats.org/officeDocument/2006/relationships/hyperlink" Target="https://irishfamilysurnames.com/wp-content/uploads/2021/04/coleman-B-H.jpg" TargetMode="External" Id="rId94" /><Relationship Type="http://schemas.openxmlformats.org/officeDocument/2006/relationships/hyperlink" Target="https://irishfamilysurnames.com/product/collins/" TargetMode="External" Id="rId95" /><Relationship Type="http://schemas.openxmlformats.org/officeDocument/2006/relationships/hyperlink" Target="https://irishfamilysurnames.com/wp-content/uploads/2021/04/collins-B-H.jpg" TargetMode="External" Id="rId96" /><Relationship Type="http://schemas.openxmlformats.org/officeDocument/2006/relationships/hyperlink" Target="https://irishfamilysurnames.com/product/condon/" TargetMode="External" Id="rId97" /><Relationship Type="http://schemas.openxmlformats.org/officeDocument/2006/relationships/hyperlink" Target="https://irishfamilysurnames.com/wp-content/uploads/2021/04/condon-B-H.jpg" TargetMode="External" Id="rId98" /><Relationship Type="http://schemas.openxmlformats.org/officeDocument/2006/relationships/hyperlink" Target="https://irishfamilysurnames.com/product/conlan/" TargetMode="External" Id="rId99" /><Relationship Type="http://schemas.openxmlformats.org/officeDocument/2006/relationships/hyperlink" Target="https://irishfamilysurnames.com/wp-content/uploads/2021/04/conlan-B-H.jpg" TargetMode="External" Id="rId100" /><Relationship Type="http://schemas.openxmlformats.org/officeDocument/2006/relationships/hyperlink" Target="https://irishfamilysurnames.com/product/connell/" TargetMode="External" Id="rId101" /><Relationship Type="http://schemas.openxmlformats.org/officeDocument/2006/relationships/hyperlink" Target="https://irishfamilysurnames.com/wp-content/uploads/2021/04/connell-B-H.jpg" TargetMode="External" Id="rId102" /><Relationship Type="http://schemas.openxmlformats.org/officeDocument/2006/relationships/hyperlink" Target="https://irishfamilysurnames.com/product/connolly/" TargetMode="External" Id="rId103" /><Relationship Type="http://schemas.openxmlformats.org/officeDocument/2006/relationships/hyperlink" Target="https://irishfamilysurnames.com/wp-content/uploads/2021/04/connolly-B-H.jpg" TargetMode="External" Id="rId104" /><Relationship Type="http://schemas.openxmlformats.org/officeDocument/2006/relationships/hyperlink" Target="https://irishfamilysurnames.com/product/connor/" TargetMode="External" Id="rId105" /><Relationship Type="http://schemas.openxmlformats.org/officeDocument/2006/relationships/hyperlink" Target="https://irishfamilysurnames.com/wp-content/uploads/2021/04/connor-B-H.jpg" TargetMode="External" Id="rId106" /><Relationship Type="http://schemas.openxmlformats.org/officeDocument/2006/relationships/hyperlink" Target="https://irishfamilysurnames.com/product/conroy/" TargetMode="External" Id="rId107" /><Relationship Type="http://schemas.openxmlformats.org/officeDocument/2006/relationships/hyperlink" Target="https://irishfamilysurnames.com/wp-content/uploads/2021/04/conroy-B-H.jpg" TargetMode="External" Id="rId108" /><Relationship Type="http://schemas.openxmlformats.org/officeDocument/2006/relationships/hyperlink" Target="https://irishfamilysurnames.com/product/conway/" TargetMode="External" Id="rId109" /><Relationship Type="http://schemas.openxmlformats.org/officeDocument/2006/relationships/hyperlink" Target="https://irishfamilysurnames.com/wp-content/uploads/2021/04/conway-B-H.jpg" TargetMode="External" Id="rId110" /><Relationship Type="http://schemas.openxmlformats.org/officeDocument/2006/relationships/hyperlink" Target="https://irishfamilysurnames.com/product/cooney/" TargetMode="External" Id="rId111" /><Relationship Type="http://schemas.openxmlformats.org/officeDocument/2006/relationships/hyperlink" Target="https://irishfamilysurnames.com/wp-content/uploads/2021/04/cooney-B-H.jpg" TargetMode="External" Id="rId112" /><Relationship Type="http://schemas.openxmlformats.org/officeDocument/2006/relationships/hyperlink" Target="https://irishfamilysurnames.com/product/corcoran/" TargetMode="External" Id="rId113" /><Relationship Type="http://schemas.openxmlformats.org/officeDocument/2006/relationships/hyperlink" Target="https://irishfamilysurnames.com/wp-content/uploads/2021/04/corcoran-B-H.jpg" TargetMode="External" Id="rId114" /><Relationship Type="http://schemas.openxmlformats.org/officeDocument/2006/relationships/hyperlink" Target="https://irishfamilysurnames.com/product/corrigan/" TargetMode="External" Id="rId115" /><Relationship Type="http://schemas.openxmlformats.org/officeDocument/2006/relationships/hyperlink" Target="https://irishfamilysurnames.com/wp-content/uploads/2021/04/corrigan-B-H.jpg" TargetMode="External" Id="rId116" /><Relationship Type="http://schemas.openxmlformats.org/officeDocument/2006/relationships/hyperlink" Target="https://irishfamilysurnames.com/product/cosgrave/" TargetMode="External" Id="rId117" /><Relationship Type="http://schemas.openxmlformats.org/officeDocument/2006/relationships/hyperlink" Target="https://irishfamilysurnames.com/wp-content/uploads/2021/04/cosgrave-B-H.jpg" TargetMode="External" Id="rId118" /><Relationship Type="http://schemas.openxmlformats.org/officeDocument/2006/relationships/hyperlink" Target="https://irishfamilysurnames.com/product/cosgrove/" TargetMode="External" Id="rId119" /><Relationship Type="http://schemas.openxmlformats.org/officeDocument/2006/relationships/hyperlink" Target="https://irishfamilysurnames.com/wp-content/uploads/2021/04/cosgrove-B-H.jpg" TargetMode="External" Id="rId120" /><Relationship Type="http://schemas.openxmlformats.org/officeDocument/2006/relationships/hyperlink" Target="https://irishfamilysurnames.com/product/costello/" TargetMode="External" Id="rId121" /><Relationship Type="http://schemas.openxmlformats.org/officeDocument/2006/relationships/hyperlink" Target="https://irishfamilysurnames.com/wp-content/uploads/2021/04/costello-B-H.jpg" TargetMode="External" Id="rId122" /><Relationship Type="http://schemas.openxmlformats.org/officeDocument/2006/relationships/hyperlink" Target="https://irishfamilysurnames.com/product/cotter/" TargetMode="External" Id="rId123" /><Relationship Type="http://schemas.openxmlformats.org/officeDocument/2006/relationships/hyperlink" Target="https://irishfamilysurnames.com/wp-content/uploads/2021/04/cotter-B-H.jpg" TargetMode="External" Id="rId124" /><Relationship Type="http://schemas.openxmlformats.org/officeDocument/2006/relationships/hyperlink" Target="https://irishfamilysurnames.com/product/coughlan/" TargetMode="External" Id="rId125" /><Relationship Type="http://schemas.openxmlformats.org/officeDocument/2006/relationships/hyperlink" Target="https://irishfamilysurnames.com/wp-content/uploads/2021/04/coughlan-B-H.jpg" TargetMode="External" Id="rId126" /><Relationship Type="http://schemas.openxmlformats.org/officeDocument/2006/relationships/hyperlink" Target="https://irishfamilysurnames.com/product/coughlin/" TargetMode="External" Id="rId127" /><Relationship Type="http://schemas.openxmlformats.org/officeDocument/2006/relationships/hyperlink" Target="https://irishfamilysurnames.com/wp-content/uploads/2021/04/coughlin-B-H.jpg" TargetMode="External" Id="rId128" /><Relationship Type="http://schemas.openxmlformats.org/officeDocument/2006/relationships/hyperlink" Target="https://irishfamilysurnames.com/product/coyle/" TargetMode="External" Id="rId129" /><Relationship Type="http://schemas.openxmlformats.org/officeDocument/2006/relationships/hyperlink" Target="https://irishfamilysurnames.com/wp-content/uploads/2021/04/coyle-B-H.jpg" TargetMode="External" Id="rId130" /><Relationship Type="http://schemas.openxmlformats.org/officeDocument/2006/relationships/hyperlink" Target="https://irishfamilysurnames.com/product/coyne/" TargetMode="External" Id="rId131" /><Relationship Type="http://schemas.openxmlformats.org/officeDocument/2006/relationships/hyperlink" Target="https://irishfamilysurnames.com/wp-content/uploads/2021/04/coyne-B-H.jpg" TargetMode="External" Id="rId132" /><Relationship Type="http://schemas.openxmlformats.org/officeDocument/2006/relationships/hyperlink" Target="https://irishfamilysurnames.com/product/cremin/" TargetMode="External" Id="rId133" /><Relationship Type="http://schemas.openxmlformats.org/officeDocument/2006/relationships/hyperlink" Target="https://irishfamilysurnames.com/wp-content/uploads/2021/04/cremin-B-H.jpg" TargetMode="External" Id="rId134" /><Relationship Type="http://schemas.openxmlformats.org/officeDocument/2006/relationships/hyperlink" Target="https://irishfamilysurnames.com/product/cronin/" TargetMode="External" Id="rId135" /><Relationship Type="http://schemas.openxmlformats.org/officeDocument/2006/relationships/hyperlink" Target="https://irishfamilysurnames.com/wp-content/uploads/2021/04/cronin-B-H.jpg" TargetMode="External" Id="rId136" /><Relationship Type="http://schemas.openxmlformats.org/officeDocument/2006/relationships/hyperlink" Target="https://irishfamilysurnames.com/product/crowe/" TargetMode="External" Id="rId137" /><Relationship Type="http://schemas.openxmlformats.org/officeDocument/2006/relationships/hyperlink" Target="https://irishfamilysurnames.com/wp-content/uploads/2021/04/crowe-B-H.jpg" TargetMode="External" Id="rId138" /><Relationship Type="http://schemas.openxmlformats.org/officeDocument/2006/relationships/hyperlink" Target="https://irishfamilysurnames.com/product/crowley/" TargetMode="External" Id="rId139" /><Relationship Type="http://schemas.openxmlformats.org/officeDocument/2006/relationships/hyperlink" Target="https://irishfamilysurnames.com/wp-content/uploads/2021/04/crowley-B-H.jpg" TargetMode="External" Id="rId140" /><Relationship Type="http://schemas.openxmlformats.org/officeDocument/2006/relationships/hyperlink" Target="https://irishfamilysurnames.com/product/cullen/" TargetMode="External" Id="rId141" /><Relationship Type="http://schemas.openxmlformats.org/officeDocument/2006/relationships/hyperlink" Target="https://irishfamilysurnames.com/wp-content/uploads/2021/04/cullen-B-H.jpg" TargetMode="External" Id="rId142" /><Relationship Type="http://schemas.openxmlformats.org/officeDocument/2006/relationships/hyperlink" Target="https://irishfamilysurnames.com/product/cummins/" TargetMode="External" Id="rId143" /><Relationship Type="http://schemas.openxmlformats.org/officeDocument/2006/relationships/hyperlink" Target="https://irishfamilysurnames.com/wp-content/uploads/2021/04/cummins-B-H.jpg" TargetMode="External" Id="rId144" /><Relationship Type="http://schemas.openxmlformats.org/officeDocument/2006/relationships/hyperlink" Target="https://irishfamilysurnames.com/product/cunningham/" TargetMode="External" Id="rId145" /><Relationship Type="http://schemas.openxmlformats.org/officeDocument/2006/relationships/hyperlink" Target="https://irishfamilysurnames.com/wp-content/uploads/2021/04/cunningham-B-H.jpg" TargetMode="External" Id="rId146" /><Relationship Type="http://schemas.openxmlformats.org/officeDocument/2006/relationships/hyperlink" Target="https://irishfamilysurnames.com/product/curran/" TargetMode="External" Id="rId147" /><Relationship Type="http://schemas.openxmlformats.org/officeDocument/2006/relationships/hyperlink" Target="https://irishfamilysurnames.com/wp-content/uploads/2021/04/curran-B-H.jpg" TargetMode="External" Id="rId148" /><Relationship Type="http://schemas.openxmlformats.org/officeDocument/2006/relationships/hyperlink" Target="https://irishfamilysurnames.com/product/curtin/" TargetMode="External" Id="rId149" /><Relationship Type="http://schemas.openxmlformats.org/officeDocument/2006/relationships/hyperlink" Target="https://irishfamilysurnames.com/wp-content/uploads/2021/04/curtin-B-H.jpg" TargetMode="External" Id="rId150" /><Relationship Type="http://schemas.openxmlformats.org/officeDocument/2006/relationships/hyperlink" Target="https://irishfamilysurnames.com/product/cusack/" TargetMode="External" Id="rId151" /><Relationship Type="http://schemas.openxmlformats.org/officeDocument/2006/relationships/hyperlink" Target="https://irishfamilysurnames.com/wp-content/uploads/2021/04/cusack-B-H.jpg" TargetMode="External" Id="rId152" /><Relationship Type="http://schemas.openxmlformats.org/officeDocument/2006/relationships/hyperlink" Target="https://irishfamilysurnames.com/product/daley/" TargetMode="External" Id="rId153" /><Relationship Type="http://schemas.openxmlformats.org/officeDocument/2006/relationships/hyperlink" Target="https://irishfamilysurnames.com/wp-content/uploads/2021/04/daley-B-H.jpg" TargetMode="External" Id="rId154" /><Relationship Type="http://schemas.openxmlformats.org/officeDocument/2006/relationships/hyperlink" Target="https://irishfamilysurnames.com/product/dalton/" TargetMode="External" Id="rId155" /><Relationship Type="http://schemas.openxmlformats.org/officeDocument/2006/relationships/hyperlink" Target="https://irishfamilysurnames.com/wp-content/uploads/2021/04/dalton-B-H.jpg" TargetMode="External" Id="rId156" /><Relationship Type="http://schemas.openxmlformats.org/officeDocument/2006/relationships/hyperlink" Target="https://irishfamilysurnames.com/product/daly/" TargetMode="External" Id="rId157" /><Relationship Type="http://schemas.openxmlformats.org/officeDocument/2006/relationships/hyperlink" Target="https://irishfamilysurnames.com/wp-content/uploads/2021/04/daly-B-H.jpg" TargetMode="External" Id="rId158" /><Relationship Type="http://schemas.openxmlformats.org/officeDocument/2006/relationships/hyperlink" Target="https://irishfamilysurnames.com/product/darcy/" TargetMode="External" Id="rId159" /><Relationship Type="http://schemas.openxmlformats.org/officeDocument/2006/relationships/hyperlink" Target="https://irishfamilysurnames.com/wp-content/uploads/2021/04/darcy-B-H-7.jpg" TargetMode="External" Id="rId160" /><Relationship Type="http://schemas.openxmlformats.org/officeDocument/2006/relationships/hyperlink" Target="https://irishfamilysurnames.com/product/daugherty/" TargetMode="External" Id="rId161" /><Relationship Type="http://schemas.openxmlformats.org/officeDocument/2006/relationships/hyperlink" Target="https://irishfamilysurnames.com/wp-content/uploads/2021/04/daugherty-B-H.jpg" TargetMode="External" Id="rId162" /><Relationship Type="http://schemas.openxmlformats.org/officeDocument/2006/relationships/hyperlink" Target="https://irishfamilysurnames.com/product/davis/" TargetMode="External" Id="rId163" /><Relationship Type="http://schemas.openxmlformats.org/officeDocument/2006/relationships/hyperlink" Target="https://irishfamilysurnames.com/wp-content/uploads/2021/04/davis-B-H.jpg" TargetMode="External" Id="rId164" /><Relationship Type="http://schemas.openxmlformats.org/officeDocument/2006/relationships/hyperlink" Target="https://irishfamilysurnames.com/product/delaney/" TargetMode="External" Id="rId165" /><Relationship Type="http://schemas.openxmlformats.org/officeDocument/2006/relationships/hyperlink" Target="https://irishfamilysurnames.com/wp-content/uploads/2021/04/delaney-B-H.jpg" TargetMode="External" Id="rId166" /><Relationship Type="http://schemas.openxmlformats.org/officeDocument/2006/relationships/hyperlink" Target="https://irishfamilysurnames.com/product/dempsey/" TargetMode="External" Id="rId167" /><Relationship Type="http://schemas.openxmlformats.org/officeDocument/2006/relationships/hyperlink" Target="https://irishfamilysurnames.com/wp-content/uploads/2021/04/dempsey-B-H.jpg" TargetMode="External" Id="rId168" /><Relationship Type="http://schemas.openxmlformats.org/officeDocument/2006/relationships/hyperlink" Target="https://irishfamilysurnames.com/product/devine/" TargetMode="External" Id="rId169" /><Relationship Type="http://schemas.openxmlformats.org/officeDocument/2006/relationships/hyperlink" Target="https://irishfamilysurnames.com/wp-content/uploads/2021/04/devine-B-H.jpg" TargetMode="External" Id="rId170" /><Relationship Type="http://schemas.openxmlformats.org/officeDocument/2006/relationships/hyperlink" Target="https://irishfamilysurnames.com/product/devlin/" TargetMode="External" Id="rId171" /><Relationship Type="http://schemas.openxmlformats.org/officeDocument/2006/relationships/hyperlink" Target="https://irishfamilysurnames.com/wp-content/uploads/2021/04/devlin-B-H.jpg" TargetMode="External" Id="rId172" /><Relationship Type="http://schemas.openxmlformats.org/officeDocument/2006/relationships/hyperlink" Target="https://irishfamilysurnames.com/product/dillon/" TargetMode="External" Id="rId173" /><Relationship Type="http://schemas.openxmlformats.org/officeDocument/2006/relationships/hyperlink" Target="https://irishfamilysurnames.com/wp-content/uploads/2021/04/dillon-B-H.jpg" TargetMode="External" Id="rId174" /><Relationship Type="http://schemas.openxmlformats.org/officeDocument/2006/relationships/hyperlink" Target="https://irishfamilysurnames.com/product/doherty/" TargetMode="External" Id="rId175" /><Relationship Type="http://schemas.openxmlformats.org/officeDocument/2006/relationships/hyperlink" Target="https://irishfamilysurnames.com/wp-content/uploads/2021/04/doherty-B-H.jpg" TargetMode="External" Id="rId176" /><Relationship Type="http://schemas.openxmlformats.org/officeDocument/2006/relationships/hyperlink" Target="https://irishfamilysurnames.com/product/dolan/" TargetMode="External" Id="rId177" /><Relationship Type="http://schemas.openxmlformats.org/officeDocument/2006/relationships/hyperlink" Target="https://irishfamilysurnames.com/wp-content/uploads/2021/04/dolan-B-H.jpg" TargetMode="External" Id="rId178" /><Relationship Type="http://schemas.openxmlformats.org/officeDocument/2006/relationships/hyperlink" Target="https://irishfamilysurnames.com/product/donlon/" TargetMode="External" Id="rId179" /><Relationship Type="http://schemas.openxmlformats.org/officeDocument/2006/relationships/hyperlink" Target="https://irishfamilysurnames.com/wp-content/uploads/2021/04/donlon-B-H.jpg" TargetMode="External" Id="rId180" /><Relationship Type="http://schemas.openxmlformats.org/officeDocument/2006/relationships/hyperlink" Target="https://irishfamilysurnames.com/product/donnelan/" TargetMode="External" Id="rId181" /><Relationship Type="http://schemas.openxmlformats.org/officeDocument/2006/relationships/hyperlink" Target="https://irishfamilysurnames.com/wp-content/uploads/2021/04/donnelan-B-H.jpg" TargetMode="External" Id="rId182" /><Relationship Type="http://schemas.openxmlformats.org/officeDocument/2006/relationships/hyperlink" Target="https://irishfamilysurnames.com/product/donnell/" TargetMode="External" Id="rId183" /><Relationship Type="http://schemas.openxmlformats.org/officeDocument/2006/relationships/hyperlink" Target="https://irishfamilysurnames.com/wp-content/uploads/2021/04/donnell-B-H.jpg" TargetMode="External" Id="rId184" /><Relationship Type="http://schemas.openxmlformats.org/officeDocument/2006/relationships/hyperlink" Target="https://irishfamilysurnames.com/product/donnelly/" TargetMode="External" Id="rId185" /><Relationship Type="http://schemas.openxmlformats.org/officeDocument/2006/relationships/hyperlink" Target="https://irishfamilysurnames.com/wp-content/uploads/2021/04/donnelly-B-H.jpg" TargetMode="External" Id="rId186" /><Relationship Type="http://schemas.openxmlformats.org/officeDocument/2006/relationships/hyperlink" Target="https://irishfamilysurnames.com/product/donoghoe/" TargetMode="External" Id="rId187" /><Relationship Type="http://schemas.openxmlformats.org/officeDocument/2006/relationships/hyperlink" Target="https://irishfamilysurnames.com/wp-content/uploads/2021/04/donoghoe-B-H.jpg" TargetMode="External" Id="rId188" /><Relationship Type="http://schemas.openxmlformats.org/officeDocument/2006/relationships/hyperlink" Target="https://irishfamilysurnames.com/product/donoghue/" TargetMode="External" Id="rId189" /><Relationship Type="http://schemas.openxmlformats.org/officeDocument/2006/relationships/hyperlink" Target="https://irishfamilysurnames.com/wp-content/uploads/2021/04/donoghue-B-H.jpg" TargetMode="External" Id="rId190" /><Relationship Type="http://schemas.openxmlformats.org/officeDocument/2006/relationships/hyperlink" Target="https://irishfamilysurnames.com/product/donohoe/" TargetMode="External" Id="rId191" /><Relationship Type="http://schemas.openxmlformats.org/officeDocument/2006/relationships/hyperlink" Target="https://irishfamilysurnames.com/wp-content/uploads/2021/04/donohoe-B-H.jpg" TargetMode="External" Id="rId192" /><Relationship Type="http://schemas.openxmlformats.org/officeDocument/2006/relationships/hyperlink" Target="https://irishfamilysurnames.com/product/donovan/" TargetMode="External" Id="rId193" /><Relationship Type="http://schemas.openxmlformats.org/officeDocument/2006/relationships/hyperlink" Target="https://irishfamilysurnames.com/wp-content/uploads/2021/04/donovan-B-H.jpg" TargetMode="External" Id="rId194" /><Relationship Type="http://schemas.openxmlformats.org/officeDocument/2006/relationships/hyperlink" Target="https://irishfamilysurnames.com/product/dooley/" TargetMode="External" Id="rId195" /><Relationship Type="http://schemas.openxmlformats.org/officeDocument/2006/relationships/hyperlink" Target="https://irishfamilysurnames.com/wp-content/uploads/2021/04/dooley-B-H.jpg" TargetMode="External" Id="rId196" /><Relationship Type="http://schemas.openxmlformats.org/officeDocument/2006/relationships/hyperlink" Target="https://irishfamilysurnames.com/product/doran/" TargetMode="External" Id="rId197" /><Relationship Type="http://schemas.openxmlformats.org/officeDocument/2006/relationships/hyperlink" Target="https://irishfamilysurnames.com/wp-content/uploads/2021/04/doran-B-H.jpg" TargetMode="External" Id="rId198" /><Relationship Type="http://schemas.openxmlformats.org/officeDocument/2006/relationships/hyperlink" Target="https://irishfamilysurnames.com/product/dougherty/" TargetMode="External" Id="rId199" /><Relationship Type="http://schemas.openxmlformats.org/officeDocument/2006/relationships/hyperlink" Target="https://irishfamilysurnames.com/wp-content/uploads/2021/04/dougherty-B-H.jpg" TargetMode="External" Id="rId200" /><Relationship Type="http://schemas.openxmlformats.org/officeDocument/2006/relationships/hyperlink" Target="https://irishfamilysurnames.com/product/dowling/" TargetMode="External" Id="rId201" /><Relationship Type="http://schemas.openxmlformats.org/officeDocument/2006/relationships/hyperlink" Target="https://irishfamilysurnames.com/wp-content/uploads/2021/04/dowling-B-H.jpg" TargetMode="External" Id="rId202" /><Relationship Type="http://schemas.openxmlformats.org/officeDocument/2006/relationships/hyperlink" Target="https://irishfamilysurnames.com/product/downey/" TargetMode="External" Id="rId203" /><Relationship Type="http://schemas.openxmlformats.org/officeDocument/2006/relationships/hyperlink" Target="https://irishfamilysurnames.com/wp-content/uploads/2021/04/downey-B-H.jpg" TargetMode="External" Id="rId204" /><Relationship Type="http://schemas.openxmlformats.org/officeDocument/2006/relationships/hyperlink" Target="https://irishfamilysurnames.com/product/doyle/" TargetMode="External" Id="rId205" /><Relationship Type="http://schemas.openxmlformats.org/officeDocument/2006/relationships/hyperlink" Target="https://irishfamilysurnames.com/wp-content/uploads/2021/04/doyle-B-H.jpg" TargetMode="External" Id="rId206" /><Relationship Type="http://schemas.openxmlformats.org/officeDocument/2006/relationships/hyperlink" Target="https://irishfamilysurnames.com/product/driscoll/" TargetMode="External" Id="rId207" /><Relationship Type="http://schemas.openxmlformats.org/officeDocument/2006/relationships/hyperlink" Target="https://irishfamilysurnames.com/wp-content/uploads/2021/04/driscoll-B-H.jpg" TargetMode="External" Id="rId208" /><Relationship Type="http://schemas.openxmlformats.org/officeDocument/2006/relationships/hyperlink" Target="https://irishfamilysurnames.com/product/duffy/" TargetMode="External" Id="rId209" /><Relationship Type="http://schemas.openxmlformats.org/officeDocument/2006/relationships/hyperlink" Target="https://irishfamilysurnames.com/wp-content/uploads/2021/04/duffy-B-H.jpg" TargetMode="External" Id="rId210" /><Relationship Type="http://schemas.openxmlformats.org/officeDocument/2006/relationships/hyperlink" Target="https://irishfamilysurnames.com/product/dugan/" TargetMode="External" Id="rId211" /><Relationship Type="http://schemas.openxmlformats.org/officeDocument/2006/relationships/hyperlink" Target="https://irishfamilysurnames.com/wp-content/uploads/2021/04/dugan-B-H.jpg" TargetMode="External" Id="rId212" /><Relationship Type="http://schemas.openxmlformats.org/officeDocument/2006/relationships/hyperlink" Target="https://irishfamilysurnames.com/product/duggan/" TargetMode="External" Id="rId213" /><Relationship Type="http://schemas.openxmlformats.org/officeDocument/2006/relationships/hyperlink" Target="https://irishfamilysurnames.com/wp-content/uploads/2021/04/duggan-B-H.jpg" TargetMode="External" Id="rId214" /><Relationship Type="http://schemas.openxmlformats.org/officeDocument/2006/relationships/hyperlink" Target="https://irishfamilysurnames.com/product/dunn/" TargetMode="External" Id="rId215" /><Relationship Type="http://schemas.openxmlformats.org/officeDocument/2006/relationships/hyperlink" Target="https://irishfamilysurnames.com/wp-content/uploads/2021/04/dunn-B-H.jpg" TargetMode="External" Id="rId216" /><Relationship Type="http://schemas.openxmlformats.org/officeDocument/2006/relationships/hyperlink" Target="https://irishfamilysurnames.com/product/dunne/" TargetMode="External" Id="rId217" /><Relationship Type="http://schemas.openxmlformats.org/officeDocument/2006/relationships/hyperlink" Target="https://irishfamilysurnames.com/wp-content/uploads/2021/04/dunne-B-H.jpg" TargetMode="External" Id="rId218" /><Relationship Type="http://schemas.openxmlformats.org/officeDocument/2006/relationships/hyperlink" Target="https://irishfamilysurnames.com/product/dwyer/" TargetMode="External" Id="rId219" /><Relationship Type="http://schemas.openxmlformats.org/officeDocument/2006/relationships/hyperlink" Target="https://irishfamilysurnames.com/wp-content/uploads/2021/04/dwyer-B-H.jpg" TargetMode="External" Id="rId220" /><Relationship Type="http://schemas.openxmlformats.org/officeDocument/2006/relationships/hyperlink" Target="https://irishfamilysurnames.com/product/egan/" TargetMode="External" Id="rId221" /><Relationship Type="http://schemas.openxmlformats.org/officeDocument/2006/relationships/hyperlink" Target="https://irishfamilysurnames.com/wp-content/uploads/2021/04/egan-B-H.jpg" TargetMode="External" Id="rId222" /><Relationship Type="http://schemas.openxmlformats.org/officeDocument/2006/relationships/hyperlink" Target="https://irishfamilysurnames.com/product/evans/" TargetMode="External" Id="rId223" /><Relationship Type="http://schemas.openxmlformats.org/officeDocument/2006/relationships/hyperlink" Target="https://irishfamilysurnames.com/wp-content/uploads/2021/04/evans-B-H-1.jpg" TargetMode="External" Id="rId224" /><Relationship Type="http://schemas.openxmlformats.org/officeDocument/2006/relationships/hyperlink" Target="https://irishfamilysurnames.com/product/fagan/" TargetMode="External" Id="rId225" /><Relationship Type="http://schemas.openxmlformats.org/officeDocument/2006/relationships/hyperlink" Target="https://irishfamilysurnames.com/wp-content/uploads/2021/04/fagan-B-H.jpg" TargetMode="External" Id="rId226" /><Relationship Type="http://schemas.openxmlformats.org/officeDocument/2006/relationships/hyperlink" Target="https://irishfamilysurnames.com/product/fahy/" TargetMode="External" Id="rId227" /><Relationship Type="http://schemas.openxmlformats.org/officeDocument/2006/relationships/hyperlink" Target="https://irishfamilysurnames.com/wp-content/uploads/2021/04/fahy-B-H.jpg" TargetMode="External" Id="rId228" /><Relationship Type="http://schemas.openxmlformats.org/officeDocument/2006/relationships/hyperlink" Target="https://irishfamilysurnames.com/product/fallon/" TargetMode="External" Id="rId229" /><Relationship Type="http://schemas.openxmlformats.org/officeDocument/2006/relationships/hyperlink" Target="https://irishfamilysurnames.com/wp-content/uploads/2021/04/fallon-B-H.jpg" TargetMode="External" Id="rId230" /><Relationship Type="http://schemas.openxmlformats.org/officeDocument/2006/relationships/hyperlink" Target="https://irishfamilysurnames.com/product/farley/" TargetMode="External" Id="rId231" /><Relationship Type="http://schemas.openxmlformats.org/officeDocument/2006/relationships/hyperlink" Target="https://irishfamilysurnames.com/wp-content/uploads/2021/04/farley-B-H.jpg" TargetMode="External" Id="rId232" /><Relationship Type="http://schemas.openxmlformats.org/officeDocument/2006/relationships/hyperlink" Target="https://irishfamilysurnames.com/product/farrell/" TargetMode="External" Id="rId233" /><Relationship Type="http://schemas.openxmlformats.org/officeDocument/2006/relationships/hyperlink" Target="https://irishfamilysurnames.com/wp-content/uploads/2021/04/farrell-B-H.jpg" TargetMode="External" Id="rId234" /><Relationship Type="http://schemas.openxmlformats.org/officeDocument/2006/relationships/hyperlink" Target="https://irishfamilysurnames.com/product/farrelly/" TargetMode="External" Id="rId235" /><Relationship Type="http://schemas.openxmlformats.org/officeDocument/2006/relationships/hyperlink" Target="https://irishfamilysurnames.com/wp-content/uploads/2021/04/farrelly-B-H.jpg" TargetMode="External" Id="rId236" /><Relationship Type="http://schemas.openxmlformats.org/officeDocument/2006/relationships/hyperlink" Target="https://irishfamilysurnames.com/product/finn/" TargetMode="External" Id="rId237" /><Relationship Type="http://schemas.openxmlformats.org/officeDocument/2006/relationships/hyperlink" Target="https://irishfamilysurnames.com/wp-content/uploads/2021/04/finn-B-H.jpg" TargetMode="External" Id="rId238" /><Relationship Type="http://schemas.openxmlformats.org/officeDocument/2006/relationships/hyperlink" Target="https://irishfamilysurnames.com/product/finnegan/" TargetMode="External" Id="rId239" /><Relationship Type="http://schemas.openxmlformats.org/officeDocument/2006/relationships/hyperlink" Target="https://irishfamilysurnames.com/wp-content/uploads/2021/04/finnegan-B-H.jpg" TargetMode="External" Id="rId240" /><Relationship Type="http://schemas.openxmlformats.org/officeDocument/2006/relationships/hyperlink" Target="https://irishfamilysurnames.com/product/fitzgerald/" TargetMode="External" Id="rId241" /><Relationship Type="http://schemas.openxmlformats.org/officeDocument/2006/relationships/hyperlink" Target="https://irishfamilysurnames.com/wp-content/uploads/2021/04/fitzgerald-B-H.jpg" TargetMode="External" Id="rId242" /><Relationship Type="http://schemas.openxmlformats.org/officeDocument/2006/relationships/hyperlink" Target="https://irishfamilysurnames.com/product/fitzgibbon/" TargetMode="External" Id="rId243" /><Relationship Type="http://schemas.openxmlformats.org/officeDocument/2006/relationships/hyperlink" Target="https://irishfamilysurnames.com/wp-content/uploads/2021/04/fitzgibbon-B-H.jpg" TargetMode="External" Id="rId244" /><Relationship Type="http://schemas.openxmlformats.org/officeDocument/2006/relationships/hyperlink" Target="https://irishfamilysurnames.com/product/fitzpatrick/" TargetMode="External" Id="rId245" /><Relationship Type="http://schemas.openxmlformats.org/officeDocument/2006/relationships/hyperlink" Target="https://irishfamilysurnames.com/wp-content/uploads/2021/04/fitzpatrick-B-H.jpg" TargetMode="External" Id="rId246" /><Relationship Type="http://schemas.openxmlformats.org/officeDocument/2006/relationships/hyperlink" Target="https://irishfamilysurnames.com/product/fitzsimons/" TargetMode="External" Id="rId247" /><Relationship Type="http://schemas.openxmlformats.org/officeDocument/2006/relationships/hyperlink" Target="https://irishfamilysurnames.com/wp-content/uploads/2021/04/fitzsimons-B-H.jpg" TargetMode="External" Id="rId248" /><Relationship Type="http://schemas.openxmlformats.org/officeDocument/2006/relationships/hyperlink" Target="https://irishfamilysurnames.com/product/flaherty/" TargetMode="External" Id="rId249" /><Relationship Type="http://schemas.openxmlformats.org/officeDocument/2006/relationships/hyperlink" Target="https://irishfamilysurnames.com/wp-content/uploads/2021/04/flaherty-B-H.jpg" TargetMode="External" Id="rId250" /><Relationship Type="http://schemas.openxmlformats.org/officeDocument/2006/relationships/hyperlink" Target="https://irishfamilysurnames.com/product/flanagan/" TargetMode="External" Id="rId251" /><Relationship Type="http://schemas.openxmlformats.org/officeDocument/2006/relationships/hyperlink" Target="https://irishfamilysurnames.com/wp-content/uploads/2021/04/flanagan-B-H.jpg" TargetMode="External" Id="rId252" /><Relationship Type="http://schemas.openxmlformats.org/officeDocument/2006/relationships/hyperlink" Target="https://irishfamilysurnames.com/product/fleming/" TargetMode="External" Id="rId253" /><Relationship Type="http://schemas.openxmlformats.org/officeDocument/2006/relationships/hyperlink" Target="https://irishfamilysurnames.com/wp-content/uploads/2021/04/fleming-B-H.jpg" TargetMode="External" Id="rId254" /><Relationship Type="http://schemas.openxmlformats.org/officeDocument/2006/relationships/hyperlink" Target="https://irishfamilysurnames.com/product/flood/" TargetMode="External" Id="rId255" /><Relationship Type="http://schemas.openxmlformats.org/officeDocument/2006/relationships/hyperlink" Target="https://irishfamilysurnames.com/wp-content/uploads/2021/04/flood-B-H.jpg" TargetMode="External" Id="rId256" /><Relationship Type="http://schemas.openxmlformats.org/officeDocument/2006/relationships/hyperlink" Target="https://irishfamilysurnames.com/product/flynn/" TargetMode="External" Id="rId257" /><Relationship Type="http://schemas.openxmlformats.org/officeDocument/2006/relationships/hyperlink" Target="https://irishfamilysurnames.com/wp-content/uploads/2021/04/flynn-B-H.jpg" TargetMode="External" Id="rId258" /><Relationship Type="http://schemas.openxmlformats.org/officeDocument/2006/relationships/hyperlink" Target="https://irishfamilysurnames.com/product/fogarty/" TargetMode="External" Id="rId259" /><Relationship Type="http://schemas.openxmlformats.org/officeDocument/2006/relationships/hyperlink" Target="https://irishfamilysurnames.com/wp-content/uploads/2021/04/fogarty-B-H.jpg" TargetMode="External" Id="rId260" /><Relationship Type="http://schemas.openxmlformats.org/officeDocument/2006/relationships/hyperlink" Target="https://irishfamilysurnames.com/product/foley/" TargetMode="External" Id="rId261" /><Relationship Type="http://schemas.openxmlformats.org/officeDocument/2006/relationships/hyperlink" Target="https://irishfamilysurnames.com/wp-content/uploads/2021/04/foley-B-H.jpg" TargetMode="External" Id="rId262" /><Relationship Type="http://schemas.openxmlformats.org/officeDocument/2006/relationships/hyperlink" Target="https://irishfamilysurnames.com/product/fox/" TargetMode="External" Id="rId263" /><Relationship Type="http://schemas.openxmlformats.org/officeDocument/2006/relationships/hyperlink" Target="https://irishfamilysurnames.com/wp-content/uploads/2021/04/fox-B-H.jpg" TargetMode="External" Id="rId264" /><Relationship Type="http://schemas.openxmlformats.org/officeDocument/2006/relationships/hyperlink" Target="https://irishfamilysurnames.com/product/french/" TargetMode="External" Id="rId265" /><Relationship Type="http://schemas.openxmlformats.org/officeDocument/2006/relationships/hyperlink" Target="https://irishfamilysurnames.com/wp-content/uploads/2021/04/french-B-H.jpg" TargetMode="External" Id="rId266" /><Relationship Type="http://schemas.openxmlformats.org/officeDocument/2006/relationships/hyperlink" Target="https://irishfamilysurnames.com/product/furlong/" TargetMode="External" Id="rId267" /><Relationship Type="http://schemas.openxmlformats.org/officeDocument/2006/relationships/hyperlink" Target="https://irishfamilysurnames.com/wp-content/uploads/2021/04/furlong-B-H.jpg" TargetMode="External" Id="rId268" /><Relationship Type="http://schemas.openxmlformats.org/officeDocument/2006/relationships/hyperlink" Target="https://irishfamilysurnames.com/product/gaffney/" TargetMode="External" Id="rId269" /><Relationship Type="http://schemas.openxmlformats.org/officeDocument/2006/relationships/hyperlink" Target="https://irishfamilysurnames.com/wp-content/uploads/2021/04/gaffney-B-H.jpg" TargetMode="External" Id="rId270" /><Relationship Type="http://schemas.openxmlformats.org/officeDocument/2006/relationships/hyperlink" Target="https://irishfamilysurnames.com/product/gallagher/" TargetMode="External" Id="rId271" /><Relationship Type="http://schemas.openxmlformats.org/officeDocument/2006/relationships/hyperlink" Target="https://irishfamilysurnames.com/wp-content/uploads/2021/04/gallagher-B-H.jpg" TargetMode="External" Id="rId272" /><Relationship Type="http://schemas.openxmlformats.org/officeDocument/2006/relationships/hyperlink" Target="https://irishfamilysurnames.com/product/galvin/" TargetMode="External" Id="rId273" /><Relationship Type="http://schemas.openxmlformats.org/officeDocument/2006/relationships/hyperlink" Target="https://irishfamilysurnames.com/wp-content/uploads/2021/04/galvin-B-H.jpg" TargetMode="External" Id="rId274" /><Relationship Type="http://schemas.openxmlformats.org/officeDocument/2006/relationships/hyperlink" Target="https://irishfamilysurnames.com/product/geoghegan/" TargetMode="External" Id="rId275" /><Relationship Type="http://schemas.openxmlformats.org/officeDocument/2006/relationships/hyperlink" Target="https://irishfamilysurnames.com/wp-content/uploads/2021/04/geoghegan-B-H.jpg" TargetMode="External" Id="rId276" /><Relationship Type="http://schemas.openxmlformats.org/officeDocument/2006/relationships/hyperlink" Target="https://irishfamilysurnames.com/product/geraghty/" TargetMode="External" Id="rId277" /><Relationship Type="http://schemas.openxmlformats.org/officeDocument/2006/relationships/hyperlink" Target="https://irishfamilysurnames.com/wp-content/uploads/2021/04/geraghty-B-H.jpg" TargetMode="External" Id="rId278" /><Relationship Type="http://schemas.openxmlformats.org/officeDocument/2006/relationships/hyperlink" Target="https://irishfamilysurnames.com/product/gibbons/" TargetMode="External" Id="rId279" /><Relationship Type="http://schemas.openxmlformats.org/officeDocument/2006/relationships/hyperlink" Target="https://irishfamilysurnames.com/wp-content/uploads/2021/04/gibbons-B-H.jpg" TargetMode="External" Id="rId280" /><Relationship Type="http://schemas.openxmlformats.org/officeDocument/2006/relationships/hyperlink" Target="https://irishfamilysurnames.com/product/gleason/" TargetMode="External" Id="rId281" /><Relationship Type="http://schemas.openxmlformats.org/officeDocument/2006/relationships/hyperlink" Target="https://irishfamilysurnames.com/wp-content/uploads/2021/04/gleason-B-H.jpg" TargetMode="External" Id="rId282" /><Relationship Type="http://schemas.openxmlformats.org/officeDocument/2006/relationships/hyperlink" Target="https://irishfamilysurnames.com/product/gleeson/" TargetMode="External" Id="rId283" /><Relationship Type="http://schemas.openxmlformats.org/officeDocument/2006/relationships/hyperlink" Target="https://irishfamilysurnames.com/wp-content/uploads/2021/04/gleeson-B-H.jpg" TargetMode="External" Id="rId284" /><Relationship Type="http://schemas.openxmlformats.org/officeDocument/2006/relationships/hyperlink" Target="https://irishfamilysurnames.com/product/gorman/" TargetMode="External" Id="rId285" /><Relationship Type="http://schemas.openxmlformats.org/officeDocument/2006/relationships/hyperlink" Target="https://irishfamilysurnames.com/wp-content/uploads/2021/04/gorman-B-H.jpg" TargetMode="External" Id="rId286" /><Relationship Type="http://schemas.openxmlformats.org/officeDocument/2006/relationships/hyperlink" Target="https://irishfamilysurnames.com/product/grady/" TargetMode="External" Id="rId287" /><Relationship Type="http://schemas.openxmlformats.org/officeDocument/2006/relationships/hyperlink" Target="https://irishfamilysurnames.com/wp-content/uploads/2021/04/grady-B-H.jpg" TargetMode="External" Id="rId288" /><Relationship Type="http://schemas.openxmlformats.org/officeDocument/2006/relationships/hyperlink" Target="https://irishfamilysurnames.com/product/graham/" TargetMode="External" Id="rId289" /><Relationship Type="http://schemas.openxmlformats.org/officeDocument/2006/relationships/hyperlink" Target="https://irishfamilysurnames.com/wp-content/uploads/2021/04/graham-B-H.jpg" TargetMode="External" Id="rId290" /><Relationship Type="http://schemas.openxmlformats.org/officeDocument/2006/relationships/hyperlink" Target="https://irishfamilysurnames.com/product/green/" TargetMode="External" Id="rId291" /><Relationship Type="http://schemas.openxmlformats.org/officeDocument/2006/relationships/hyperlink" Target="https://irishfamilysurnames.com/wp-content/uploads/2021/04/green-B-H.jpg" TargetMode="External" Id="rId292" /><Relationship Type="http://schemas.openxmlformats.org/officeDocument/2006/relationships/hyperlink" Target="https://irishfamilysurnames.com/product/greene/" TargetMode="External" Id="rId293" /><Relationship Type="http://schemas.openxmlformats.org/officeDocument/2006/relationships/hyperlink" Target="https://irishfamilysurnames.com/wp-content/uploads/2021/04/greene-B-H.jpg" TargetMode="External" Id="rId294" /><Relationship Type="http://schemas.openxmlformats.org/officeDocument/2006/relationships/hyperlink" Target="https://irishfamilysurnames.com/product/griffin/" TargetMode="External" Id="rId295" /><Relationship Type="http://schemas.openxmlformats.org/officeDocument/2006/relationships/hyperlink" Target="https://irishfamilysurnames.com/wp-content/uploads/2021/04/griffin-B-H.jpg" TargetMode="External" Id="rId296" /><Relationship Type="http://schemas.openxmlformats.org/officeDocument/2006/relationships/hyperlink" Target="https://irishfamilysurnames.com/product/griffith/" TargetMode="External" Id="rId297" /><Relationship Type="http://schemas.openxmlformats.org/officeDocument/2006/relationships/hyperlink" Target="https://irishfamilysurnames.com/wp-content/uploads/2021/04/griffith-B-H.jpg" TargetMode="External" Id="rId298" /><Relationship Type="http://schemas.openxmlformats.org/officeDocument/2006/relationships/hyperlink" Target="https://irishfamilysurnames.com/product/guinness/" TargetMode="External" Id="rId299" /><Relationship Type="http://schemas.openxmlformats.org/officeDocument/2006/relationships/hyperlink" Target="https://irishfamilysurnames.com/wp-content/uploads/2021/04/guinness-B-H.jpg" TargetMode="External" Id="rId300" /><Relationship Type="http://schemas.openxmlformats.org/officeDocument/2006/relationships/hyperlink" Target="https://irishfamilysurnames.com/product/hackett/" TargetMode="External" Id="rId301" /><Relationship Type="http://schemas.openxmlformats.org/officeDocument/2006/relationships/hyperlink" Target="https://irishfamilysurnames.com/wp-content/uploads/2021/04/hackett-B-H.jpg" TargetMode="External" Id="rId302" /><Relationship Type="http://schemas.openxmlformats.org/officeDocument/2006/relationships/hyperlink" Target="https://irishfamilysurnames.com/product/hagan/" TargetMode="External" Id="rId303" /><Relationship Type="http://schemas.openxmlformats.org/officeDocument/2006/relationships/hyperlink" Target="https://irishfamilysurnames.com/wp-content/uploads/2021/04/hagan-B-H.jpg" TargetMode="External" Id="rId304" /><Relationship Type="http://schemas.openxmlformats.org/officeDocument/2006/relationships/hyperlink" Target="https://irishfamilysurnames.com/product/hall/" TargetMode="External" Id="rId305" /><Relationship Type="http://schemas.openxmlformats.org/officeDocument/2006/relationships/hyperlink" Target="https://irishfamilysurnames.com/wp-content/uploads/2021/04/hall-B-H.jpg" TargetMode="External" Id="rId306" /><Relationship Type="http://schemas.openxmlformats.org/officeDocument/2006/relationships/hyperlink" Target="https://irishfamilysurnames.com/product/halloran/" TargetMode="External" Id="rId307" /><Relationship Type="http://schemas.openxmlformats.org/officeDocument/2006/relationships/hyperlink" Target="https://irishfamilysurnames.com/wp-content/uploads/2021/04/halloran-B-H.jpg" TargetMode="External" Id="rId308" /><Relationship Type="http://schemas.openxmlformats.org/officeDocument/2006/relationships/hyperlink" Target="https://irishfamilysurnames.com/product/hanley/" TargetMode="External" Id="rId309" /><Relationship Type="http://schemas.openxmlformats.org/officeDocument/2006/relationships/hyperlink" Target="https://irishfamilysurnames.com/wp-content/uploads/2021/04/hanley-B-H.jpg" TargetMode="External" Id="rId310" /><Relationship Type="http://schemas.openxmlformats.org/officeDocument/2006/relationships/hyperlink" Target="https://irishfamilysurnames.com/product/hanlon/" TargetMode="External" Id="rId311" /><Relationship Type="http://schemas.openxmlformats.org/officeDocument/2006/relationships/hyperlink" Target="https://irishfamilysurnames.com/wp-content/uploads/2021/04/hanlon-B-H.jpg" TargetMode="External" Id="rId312" /><Relationship Type="http://schemas.openxmlformats.org/officeDocument/2006/relationships/hyperlink" Target="https://irishfamilysurnames.com/product/hannon/" TargetMode="External" Id="rId313" /><Relationship Type="http://schemas.openxmlformats.org/officeDocument/2006/relationships/hyperlink" Target="https://irishfamilysurnames.com/wp-content/uploads/2021/04/hannon-B-H.jpg" TargetMode="External" Id="rId314" /><Relationship Type="http://schemas.openxmlformats.org/officeDocument/2006/relationships/hyperlink" Target="https://irishfamilysurnames.com/product/hara/" TargetMode="External" Id="rId315" /><Relationship Type="http://schemas.openxmlformats.org/officeDocument/2006/relationships/hyperlink" Target="https://irishfamilysurnames.com/wp-content/uploads/2021/04/hara-B-H.jpg" TargetMode="External" Id="rId316" /><Relationship Type="http://schemas.openxmlformats.org/officeDocument/2006/relationships/hyperlink" Target="https://irishfamilysurnames.com/product/harrington/" TargetMode="External" Id="rId317" /><Relationship Type="http://schemas.openxmlformats.org/officeDocument/2006/relationships/hyperlink" Target="https://irishfamilysurnames.com/wp-content/uploads/2021/04/harrington-B-H.jpg" TargetMode="External" Id="rId318" /><Relationship Type="http://schemas.openxmlformats.org/officeDocument/2006/relationships/hyperlink" Target="https://irishfamilysurnames.com/product/harris/" TargetMode="External" Id="rId319" /><Relationship Type="http://schemas.openxmlformats.org/officeDocument/2006/relationships/hyperlink" Target="https://irishfamilysurnames.com/wp-content/uploads/2021/04/harris-B-H.jpg" TargetMode="External" Id="rId320" /><Relationship Type="http://schemas.openxmlformats.org/officeDocument/2006/relationships/hyperlink" Target="https://irishfamilysurnames.com/product/harrison/" TargetMode="External" Id="rId321" /><Relationship Type="http://schemas.openxmlformats.org/officeDocument/2006/relationships/hyperlink" Target="https://irishfamilysurnames.com/wp-content/uploads/2021/04/harrison-B-H.jpg" TargetMode="External" Id="rId322" /><Relationship Type="http://schemas.openxmlformats.org/officeDocument/2006/relationships/hyperlink" Target="https://irishfamilysurnames.com/product/hart/" TargetMode="External" Id="rId323" /><Relationship Type="http://schemas.openxmlformats.org/officeDocument/2006/relationships/hyperlink" Target="https://irishfamilysurnames.com/wp-content/uploads/2021/04/hart-B-H.jpg" TargetMode="External" Id="rId324" /><Relationship Type="http://schemas.openxmlformats.org/officeDocument/2006/relationships/hyperlink" Target="https://irishfamilysurnames.com/product/harte/" TargetMode="External" Id="rId325" /><Relationship Type="http://schemas.openxmlformats.org/officeDocument/2006/relationships/hyperlink" Target="https://irishfamilysurnames.com/wp-content/uploads/2021/04/harte-B-H.jpg" TargetMode="External" Id="rId326" /><Relationship Type="http://schemas.openxmlformats.org/officeDocument/2006/relationships/hyperlink" Target="https://irishfamilysurnames.com/product/hayes/" TargetMode="External" Id="rId327" /><Relationship Type="http://schemas.openxmlformats.org/officeDocument/2006/relationships/hyperlink" Target="https://irishfamilysurnames.com/wp-content/uploads/2021/04/hayes-B-H.jpg" TargetMode="External" Id="rId328" /><Relationship Type="http://schemas.openxmlformats.org/officeDocument/2006/relationships/hyperlink" Target="https://irishfamilysurnames.com/product/healy/" TargetMode="External" Id="rId329" /><Relationship Type="http://schemas.openxmlformats.org/officeDocument/2006/relationships/hyperlink" Target="https://irishfamilysurnames.com/wp-content/uploads/2021/04/healy-B-H.jpg" TargetMode="External" Id="rId330" /><Relationship Type="http://schemas.openxmlformats.org/officeDocument/2006/relationships/hyperlink" Target="https://irishfamilysurnames.com/product/heffernan/" TargetMode="External" Id="rId331" /><Relationship Type="http://schemas.openxmlformats.org/officeDocument/2006/relationships/hyperlink" Target="https://irishfamilysurnames.com/wp-content/uploads/2021/04/heffernan-B-H.jpg" TargetMode="External" Id="rId332" /><Relationship Type="http://schemas.openxmlformats.org/officeDocument/2006/relationships/hyperlink" Target="https://irishfamilysurnames.com/product/hegarty/" TargetMode="External" Id="rId333" /><Relationship Type="http://schemas.openxmlformats.org/officeDocument/2006/relationships/hyperlink" Target="https://irishfamilysurnames.com/wp-content/uploads/2021/04/hegarty-B-H.jpg" TargetMode="External" Id="rId334" /><Relationship Type="http://schemas.openxmlformats.org/officeDocument/2006/relationships/hyperlink" Target="https://irishfamilysurnames.com/product/hely/" TargetMode="External" Id="rId335" /><Relationship Type="http://schemas.openxmlformats.org/officeDocument/2006/relationships/hyperlink" Target="https://irishfamilysurnames.com/wp-content/uploads/2021/04/hely-B-H.jpg" TargetMode="External" Id="rId336" /><Relationship Type="http://schemas.openxmlformats.org/officeDocument/2006/relationships/hyperlink" Target="https://irishfamilysurnames.com/product/hennessy/" TargetMode="External" Id="rId337" /><Relationship Type="http://schemas.openxmlformats.org/officeDocument/2006/relationships/hyperlink" Target="https://irishfamilysurnames.com/wp-content/uploads/2021/04/hennessy-B-H.jpg" TargetMode="External" Id="rId338" /><Relationship Type="http://schemas.openxmlformats.org/officeDocument/2006/relationships/hyperlink" Target="https://irishfamilysurnames.com/product/hickey/" TargetMode="External" Id="rId339" /><Relationship Type="http://schemas.openxmlformats.org/officeDocument/2006/relationships/hyperlink" Target="https://irishfamilysurnames.com/wp-content/uploads/2021/04/hickey-B-H.jpg" TargetMode="External" Id="rId340" /><Relationship Type="http://schemas.openxmlformats.org/officeDocument/2006/relationships/hyperlink" Target="https://irishfamilysurnames.com/product/higgins/" TargetMode="External" Id="rId341" /><Relationship Type="http://schemas.openxmlformats.org/officeDocument/2006/relationships/hyperlink" Target="https://irishfamilysurnames.com/wp-content/uploads/2021/04/higgins-B-H.jpg" TargetMode="External" Id="rId342" /><Relationship Type="http://schemas.openxmlformats.org/officeDocument/2006/relationships/hyperlink" Target="https://irishfamilysurnames.com/product/hill/" TargetMode="External" Id="rId343" /><Relationship Type="http://schemas.openxmlformats.org/officeDocument/2006/relationships/hyperlink" Target="https://irishfamilysurnames.com/wp-content/uploads/2021/04/harris-B-H-1.jpg" TargetMode="External" Id="rId344" /><Relationship Type="http://schemas.openxmlformats.org/officeDocument/2006/relationships/hyperlink" Target="https://irishfamilysurnames.com/product/hines/" TargetMode="External" Id="rId345" /><Relationship Type="http://schemas.openxmlformats.org/officeDocument/2006/relationships/hyperlink" Target="https://irishfamilysurnames.com/wp-content/uploads/2021/04/hines-B-H.jpg" TargetMode="External" Id="rId346" /><Relationship Type="http://schemas.openxmlformats.org/officeDocument/2006/relationships/hyperlink" Target="https://irishfamilysurnames.com/product/hogan/" TargetMode="External" Id="rId347" /><Relationship Type="http://schemas.openxmlformats.org/officeDocument/2006/relationships/hyperlink" Target="https://irishfamilysurnames.com/wp-content/uploads/2021/04/hogan-B-H.jpg" TargetMode="External" Id="rId348" /><Relationship Type="http://schemas.openxmlformats.org/officeDocument/2006/relationships/hyperlink" Target="https://irishfamilysurnames.com/product/horan/" TargetMode="External" Id="rId349" /><Relationship Type="http://schemas.openxmlformats.org/officeDocument/2006/relationships/hyperlink" Target="https://irishfamilysurnames.com/wp-content/uploads/2021/04/horan-B-H.jpg" TargetMode="External" Id="rId350" /><Relationship Type="http://schemas.openxmlformats.org/officeDocument/2006/relationships/hyperlink" Target="https://irishfamilysurnames.com/product/hughes/" TargetMode="External" Id="rId351" /><Relationship Type="http://schemas.openxmlformats.org/officeDocument/2006/relationships/hyperlink" Target="https://irishfamilysurnames.com/wp-content/uploads/2021/04/hughes-B-H.jpg" TargetMode="External" Id="rId352" /><Relationship Type="http://schemas.openxmlformats.org/officeDocument/2006/relationships/hyperlink" Target="https://irishfamilysurnames.com/product/hurley/" TargetMode="External" Id="rId353" /><Relationship Type="http://schemas.openxmlformats.org/officeDocument/2006/relationships/hyperlink" Target="https://irishfamilysurnames.com/wp-content/uploads/2021/04/hurley-B-H-1.jpg" TargetMode="External" Id="rId354" /><Relationship Type="http://schemas.openxmlformats.org/officeDocument/2006/relationships/hyperlink" Target="https://irishfamilysurnames.com/product/hyland/" TargetMode="External" Id="rId355" /><Relationship Type="http://schemas.openxmlformats.org/officeDocument/2006/relationships/hyperlink" Target="https://irishfamilysurnames.com/wp-content/uploads/2021/04/hyland-B-H.jpg" TargetMode="External" Id="rId356" /><Relationship Type="http://schemas.openxmlformats.org/officeDocument/2006/relationships/hyperlink" Target="https://irishfamilysurnames.com/product/hyland-copy/" TargetMode="External" Id="rId357" /><Relationship Type="http://schemas.openxmlformats.org/officeDocument/2006/relationships/hyperlink" Target="https://irishfamilysurnames.com/wp-content/uploads/2021/04/hynes-B-H.jpg" TargetMode="External" Id="rId358" /><Relationship Type="http://schemas.openxmlformats.org/officeDocument/2006/relationships/hyperlink" Target="https://irishfamilysurnames.com/product/jackson/" TargetMode="External" Id="rId359" /><Relationship Type="http://schemas.openxmlformats.org/officeDocument/2006/relationships/hyperlink" Target="https://irishfamilysurnames.com/wp-content/uploads/2021/04/jackson-B-H.jpg" TargetMode="External" Id="rId360" /><Relationship Type="http://schemas.openxmlformats.org/officeDocument/2006/relationships/hyperlink" Target="https://irishfamilysurnames.com/product/johnson/" TargetMode="External" Id="rId361" /><Relationship Type="http://schemas.openxmlformats.org/officeDocument/2006/relationships/hyperlink" Target="https://irishfamilysurnames.com/wp-content/uploads/2021/04/johnson-B-H.jpg" TargetMode="External" Id="rId362" /><Relationship Type="http://schemas.openxmlformats.org/officeDocument/2006/relationships/hyperlink" Target="https://irishfamilysurnames.com/product/johnston/" TargetMode="External" Id="rId363" /><Relationship Type="http://schemas.openxmlformats.org/officeDocument/2006/relationships/hyperlink" Target="https://irishfamilysurnames.com/wp-content/uploads/2021/04/johnston-B-H.jpg" TargetMode="External" Id="rId364" /><Relationship Type="http://schemas.openxmlformats.org/officeDocument/2006/relationships/hyperlink" Target="https://irishfamilysurnames.com/product/jones/" TargetMode="External" Id="rId365" /><Relationship Type="http://schemas.openxmlformats.org/officeDocument/2006/relationships/hyperlink" Target="https://irishfamilysurnames.com/wp-content/uploads/2021/04/jones-B-H.jpg" TargetMode="External" Id="rId366" /><Relationship Type="http://schemas.openxmlformats.org/officeDocument/2006/relationships/hyperlink" Target="https://irishfamilysurnames.com/product/jordan/" TargetMode="External" Id="rId367" /><Relationship Type="http://schemas.openxmlformats.org/officeDocument/2006/relationships/hyperlink" Target="https://irishfamilysurnames.com/wp-content/uploads/2021/04/jordan-B-H.jpg" TargetMode="External" Id="rId368" /><Relationship Type="http://schemas.openxmlformats.org/officeDocument/2006/relationships/hyperlink" Target="https://irishfamilysurnames.com/product/joyce/" TargetMode="External" Id="rId369" /><Relationship Type="http://schemas.openxmlformats.org/officeDocument/2006/relationships/hyperlink" Target="https://irishfamilysurnames.com/wp-content/uploads/2021/04/joyce-B-H-1.jpg" TargetMode="External" Id="rId370" /><Relationship Type="http://schemas.openxmlformats.org/officeDocument/2006/relationships/hyperlink" Target="https://irishfamilysurnames.com/product/kane/" TargetMode="External" Id="rId371" /><Relationship Type="http://schemas.openxmlformats.org/officeDocument/2006/relationships/hyperlink" Target="https://irishfamilysurnames.com/wp-content/uploads/2021/04/kane-B-H.jpg" TargetMode="External" Id="rId372" /><Relationship Type="http://schemas.openxmlformats.org/officeDocument/2006/relationships/hyperlink" Target="https://irishfamilysurnames.com/product/kavanagh/" TargetMode="External" Id="rId373" /><Relationship Type="http://schemas.openxmlformats.org/officeDocument/2006/relationships/hyperlink" Target="https://irishfamilysurnames.com/wp-content/uploads/2021/04/kavanagh-B-H.jpg" TargetMode="External" Id="rId374" /><Relationship Type="http://schemas.openxmlformats.org/officeDocument/2006/relationships/hyperlink" Target="https://irishfamilysurnames.com/product/keane/" TargetMode="External" Id="rId375" /><Relationship Type="http://schemas.openxmlformats.org/officeDocument/2006/relationships/hyperlink" Target="https://irishfamilysurnames.com/wp-content/uploads/2021/04/keane-B-H.jpg" TargetMode="External" Id="rId376" /><Relationship Type="http://schemas.openxmlformats.org/officeDocument/2006/relationships/hyperlink" Target="https://irishfamilysurnames.com/product/kearney/" TargetMode="External" Id="rId377" /><Relationship Type="http://schemas.openxmlformats.org/officeDocument/2006/relationships/hyperlink" Target="https://irishfamilysurnames.com/wp-content/uploads/2021/04/kearney-B-H.jpg" TargetMode="External" Id="rId378" /><Relationship Type="http://schemas.openxmlformats.org/officeDocument/2006/relationships/hyperlink" Target="https://irishfamilysurnames.com/product/kearns/" TargetMode="External" Id="rId379" /><Relationship Type="http://schemas.openxmlformats.org/officeDocument/2006/relationships/hyperlink" Target="https://irishfamilysurnames.com/wp-content/uploads/2021/04/kearns-B-H.jpg" TargetMode="External" Id="rId380" /><Relationship Type="http://schemas.openxmlformats.org/officeDocument/2006/relationships/hyperlink" Target="https://irishfamilysurnames.com/product/keating/" TargetMode="External" Id="rId381" /><Relationship Type="http://schemas.openxmlformats.org/officeDocument/2006/relationships/hyperlink" Target="https://irishfamilysurnames.com/wp-content/uploads/2021/04/keating-B-H.jpg" TargetMode="External" Id="rId382" /><Relationship Type="http://schemas.openxmlformats.org/officeDocument/2006/relationships/hyperlink" Target="https://irishfamilysurnames.com/product/keefe/" TargetMode="External" Id="rId383" /><Relationship Type="http://schemas.openxmlformats.org/officeDocument/2006/relationships/hyperlink" Target="https://irishfamilysurnames.com/wp-content/uploads/2021/04/keefe-B-H.jpg" TargetMode="External" Id="rId384" /><Relationship Type="http://schemas.openxmlformats.org/officeDocument/2006/relationships/hyperlink" Target="https://irishfamilysurnames.com/product/keeffe/" TargetMode="External" Id="rId385" /><Relationship Type="http://schemas.openxmlformats.org/officeDocument/2006/relationships/hyperlink" Target="https://irishfamilysurnames.com/wp-content/uploads/2021/04/keeffe-B-H.jpg" TargetMode="External" Id="rId386" /><Relationship Type="http://schemas.openxmlformats.org/officeDocument/2006/relationships/hyperlink" Target="https://irishfamilysurnames.com/product/keegan/" TargetMode="External" Id="rId387" /><Relationship Type="http://schemas.openxmlformats.org/officeDocument/2006/relationships/hyperlink" Target="https://irishfamilysurnames.com/wp-content/uploads/2021/04/keegan-B-H.jpg" TargetMode="External" Id="rId388" /><Relationship Type="http://schemas.openxmlformats.org/officeDocument/2006/relationships/hyperlink" Target="https://irishfamilysurnames.com/product/keenan/" TargetMode="External" Id="rId389" /><Relationship Type="http://schemas.openxmlformats.org/officeDocument/2006/relationships/hyperlink" Target="https://irishfamilysurnames.com/wp-content/uploads/2021/04/keenan-B-H.jpg" TargetMode="External" Id="rId390" /><Relationship Type="http://schemas.openxmlformats.org/officeDocument/2006/relationships/hyperlink" Target="https://irishfamilysurnames.com/product/kehoe/" TargetMode="External" Id="rId391" /><Relationship Type="http://schemas.openxmlformats.org/officeDocument/2006/relationships/hyperlink" Target="https://irishfamilysurnames.com/wp-content/uploads/2021/04/kehoe-B-H.jpg" TargetMode="External" Id="rId392" /><Relationship Type="http://schemas.openxmlformats.org/officeDocument/2006/relationships/hyperlink" Target="https://irishfamilysurnames.com/product/kelley/" TargetMode="External" Id="rId393" /><Relationship Type="http://schemas.openxmlformats.org/officeDocument/2006/relationships/hyperlink" Target="https://irishfamilysurnames.com/wp-content/uploads/2021/04/kelley-B-H.jpg" TargetMode="External" Id="rId394" /><Relationship Type="http://schemas.openxmlformats.org/officeDocument/2006/relationships/hyperlink" Target="https://irishfamilysurnames.com/product/kelly/" TargetMode="External" Id="rId395" /><Relationship Type="http://schemas.openxmlformats.org/officeDocument/2006/relationships/hyperlink" Target="https://irishfamilysurnames.com/wp-content/uploads/2021/04/kelly-B-H.jpg" TargetMode="External" Id="rId396" /><Relationship Type="http://schemas.openxmlformats.org/officeDocument/2006/relationships/hyperlink" Target="https://irishfamilysurnames.com/product/kennedy/" TargetMode="External" Id="rId397" /><Relationship Type="http://schemas.openxmlformats.org/officeDocument/2006/relationships/hyperlink" Target="https://irishfamilysurnames.com/wp-content/uploads/2021/04/kennedy-B-H.jpg" TargetMode="External" Id="rId398" /><Relationship Type="http://schemas.openxmlformats.org/officeDocument/2006/relationships/hyperlink" Target="https://irishfamilysurnames.com/product/kenny/" TargetMode="External" Id="rId399" /><Relationship Type="http://schemas.openxmlformats.org/officeDocument/2006/relationships/hyperlink" Target="https://irishfamilysurnames.com/wp-content/uploads/2021/04/kenny-B-H.jpg" TargetMode="External" Id="rId400" /><Relationship Type="http://schemas.openxmlformats.org/officeDocument/2006/relationships/hyperlink" Target="https://irishfamilysurnames.com/product/keogh/" TargetMode="External" Id="rId401" /><Relationship Type="http://schemas.openxmlformats.org/officeDocument/2006/relationships/hyperlink" Target="https://irishfamilysurnames.com/wp-content/uploads/2021/04/keogh-B-H.jpg" TargetMode="External" Id="rId402" /><Relationship Type="http://schemas.openxmlformats.org/officeDocument/2006/relationships/hyperlink" Target="https://irishfamilysurnames.com/product/kerins/" TargetMode="External" Id="rId403" /><Relationship Type="http://schemas.openxmlformats.org/officeDocument/2006/relationships/hyperlink" Target="https://irishfamilysurnames.com/wp-content/uploads/2021/04/kerins-B-H.jpg" TargetMode="External" Id="rId404" /><Relationship Type="http://schemas.openxmlformats.org/officeDocument/2006/relationships/hyperlink" Target="https://irishfamilysurnames.com/product/kiernan/" TargetMode="External" Id="rId405" /><Relationship Type="http://schemas.openxmlformats.org/officeDocument/2006/relationships/hyperlink" Target="https://irishfamilysurnames.com/wp-content/uploads/2021/04/kiernan-B-H.jpg" TargetMode="External" Id="rId406" /><Relationship Type="http://schemas.openxmlformats.org/officeDocument/2006/relationships/hyperlink" Target="https://irishfamilysurnames.com/product/king/" TargetMode="External" Id="rId407" /><Relationship Type="http://schemas.openxmlformats.org/officeDocument/2006/relationships/hyperlink" Target="https://irishfamilysurnames.com/wp-content/uploads/2021/04/king-B-H.jpg" TargetMode="External" Id="rId408" /><Relationship Type="http://schemas.openxmlformats.org/officeDocument/2006/relationships/hyperlink" Target="https://irishfamilysurnames.com/product/kinsella/" TargetMode="External" Id="rId409" /><Relationship Type="http://schemas.openxmlformats.org/officeDocument/2006/relationships/hyperlink" Target="https://irishfamilysurnames.com/wp-content/uploads/2021/04/kinsella-B-H.jpg" TargetMode="External" Id="rId410" /><Relationship Type="http://schemas.openxmlformats.org/officeDocument/2006/relationships/hyperlink" Target="https://irishfamilysurnames.com/product/kirwan/" TargetMode="External" Id="rId411" /><Relationship Type="http://schemas.openxmlformats.org/officeDocument/2006/relationships/hyperlink" Target="https://irishfamilysurnames.com/wp-content/uploads/2021/04/kirwan-B-H.jpg" TargetMode="External" Id="rId412" /><Relationship Type="http://schemas.openxmlformats.org/officeDocument/2006/relationships/hyperlink" Target="https://irishfamilysurnames.com/product/lalor/" TargetMode="External" Id="rId413" /><Relationship Type="http://schemas.openxmlformats.org/officeDocument/2006/relationships/hyperlink" Target="https://irishfamilysurnames.com/wp-content/uploads/2021/04/lalor-B-H.jpg" TargetMode="External" Id="rId414" /><Relationship Type="http://schemas.openxmlformats.org/officeDocument/2006/relationships/hyperlink" Target="https://irishfamilysurnames.com/product/larkin/" TargetMode="External" Id="rId415" /><Relationship Type="http://schemas.openxmlformats.org/officeDocument/2006/relationships/hyperlink" Target="https://irishfamilysurnames.com/wp-content/uploads/2021/04/larkin-B-H.jpg" TargetMode="External" Id="rId416" /><Relationship Type="http://schemas.openxmlformats.org/officeDocument/2006/relationships/hyperlink" Target="https://irishfamilysurnames.com/product/lawler/" TargetMode="External" Id="rId417" /><Relationship Type="http://schemas.openxmlformats.org/officeDocument/2006/relationships/hyperlink" Target="https://irishfamilysurnames.com/wp-content/uploads/2021/04/lawler-B-H-1.jpg" TargetMode="External" Id="rId418" /><Relationship Type="http://schemas.openxmlformats.org/officeDocument/2006/relationships/hyperlink" Target="https://irishfamilysurnames.com/product/lawlor/" TargetMode="External" Id="rId419" /><Relationship Type="http://schemas.openxmlformats.org/officeDocument/2006/relationships/hyperlink" Target="https://irishfamilysurnames.com/wp-content/uploads/2021/04/lawlor-B-H-1.jpg" TargetMode="External" Id="rId420" /><Relationship Type="http://schemas.openxmlformats.org/officeDocument/2006/relationships/hyperlink" Target="https://irishfamilysurnames.com/product/leahy/" TargetMode="External" Id="rId421" /><Relationship Type="http://schemas.openxmlformats.org/officeDocument/2006/relationships/hyperlink" Target="https://irishfamilysurnames.com/wp-content/uploads/2021/04/leahy-B-H-1.jpg" TargetMode="External" Id="rId422" /><Relationship Type="http://schemas.openxmlformats.org/officeDocument/2006/relationships/hyperlink" Target="https://irishfamilysurnames.com/product/leary/" TargetMode="External" Id="rId423" /><Relationship Type="http://schemas.openxmlformats.org/officeDocument/2006/relationships/hyperlink" Target="https://irishfamilysurnames.com/wp-content/uploads/2021/04/leary-B-H-1.jpg" TargetMode="External" Id="rId424" /><Relationship Type="http://schemas.openxmlformats.org/officeDocument/2006/relationships/hyperlink" Target="https://irishfamilysurnames.com/product/lee/" TargetMode="External" Id="rId425" /><Relationship Type="http://schemas.openxmlformats.org/officeDocument/2006/relationships/hyperlink" Target="https://irishfamilysurnames.com/wp-content/uploads/2021/04/lee-B-H-1.jpg" TargetMode="External" Id="rId426" /><Relationship Type="http://schemas.openxmlformats.org/officeDocument/2006/relationships/hyperlink" Target="https://irishfamilysurnames.com/product/lenihan/" TargetMode="External" Id="rId427" /><Relationship Type="http://schemas.openxmlformats.org/officeDocument/2006/relationships/hyperlink" Target="https://irishfamilysurnames.com/wp-content/uploads/2021/04/lenihan-B-H-1.jpg" TargetMode="External" Id="rId428" /><Relationship Type="http://schemas.openxmlformats.org/officeDocument/2006/relationships/hyperlink" Target="https://irishfamilysurnames.com/product/lennon/" TargetMode="External" Id="rId429" /><Relationship Type="http://schemas.openxmlformats.org/officeDocument/2006/relationships/hyperlink" Target="https://irishfamilysurnames.com/wp-content/uploads/2021/04/lennon-B-H-1.jpg" TargetMode="External" Id="rId430" /><Relationship Type="http://schemas.openxmlformats.org/officeDocument/2006/relationships/hyperlink" Target="https://irishfamilysurnames.com/product/long/" TargetMode="External" Id="rId431" /><Relationship Type="http://schemas.openxmlformats.org/officeDocument/2006/relationships/hyperlink" Target="https://irishfamilysurnames.com/wp-content/uploads/2021/04/long-B-H-1.jpg" TargetMode="External" Id="rId432" /><Relationship Type="http://schemas.openxmlformats.org/officeDocument/2006/relationships/hyperlink" Target="https://irishfamilysurnames.com/product/lynch/" TargetMode="External" Id="rId433" /><Relationship Type="http://schemas.openxmlformats.org/officeDocument/2006/relationships/hyperlink" Target="https://irishfamilysurnames.com/wp-content/uploads/2021/04/lynch-B-H-1.jpg" TargetMode="External" Id="rId434" /><Relationship Type="http://schemas.openxmlformats.org/officeDocument/2006/relationships/hyperlink" Target="https://irishfamilysurnames.com/product/lyons/" TargetMode="External" Id="rId435" /><Relationship Type="http://schemas.openxmlformats.org/officeDocument/2006/relationships/hyperlink" Target="https://irishfamilysurnames.com/wp-content/uploads/2021/04/lyons-B-H-1.jpg" TargetMode="External" Id="rId436" /><Relationship Type="http://schemas.openxmlformats.org/officeDocument/2006/relationships/hyperlink" Target="https://irishfamilysurnames.com/product/mackey/" TargetMode="External" Id="rId437" /><Relationship Type="http://schemas.openxmlformats.org/officeDocument/2006/relationships/hyperlink" Target="https://irishfamilysurnames.com/wp-content/uploads/2021/04/mackey-B-H.jpg" TargetMode="External" Id="rId438" /><Relationship Type="http://schemas.openxmlformats.org/officeDocument/2006/relationships/hyperlink" Target="https://irishfamilysurnames.com/product/madden/" TargetMode="External" Id="rId439" /><Relationship Type="http://schemas.openxmlformats.org/officeDocument/2006/relationships/hyperlink" Target="https://irishfamilysurnames.com/wp-content/uploads/2021/04/madden-B-H.jpg" TargetMode="External" Id="rId440" /><Relationship Type="http://schemas.openxmlformats.org/officeDocument/2006/relationships/hyperlink" Target="https://irishfamilysurnames.com/product/magee/" TargetMode="External" Id="rId441" /><Relationship Type="http://schemas.openxmlformats.org/officeDocument/2006/relationships/hyperlink" Target="https://irishfamilysurnames.com/wp-content/uploads/2021/04/magee-B-H.jpg" TargetMode="External" Id="rId442" /><Relationship Type="http://schemas.openxmlformats.org/officeDocument/2006/relationships/hyperlink" Target="https://irishfamilysurnames.com/product/maguire/" TargetMode="External" Id="rId443" /><Relationship Type="http://schemas.openxmlformats.org/officeDocument/2006/relationships/hyperlink" Target="https://irishfamilysurnames.com/wp-content/uploads/2021/04/maguire-B-H.jpg" TargetMode="External" Id="rId444" /><Relationship Type="http://schemas.openxmlformats.org/officeDocument/2006/relationships/hyperlink" Target="https://irishfamilysurnames.com/product/maher/" TargetMode="External" Id="rId445" /><Relationship Type="http://schemas.openxmlformats.org/officeDocument/2006/relationships/hyperlink" Target="https://irishfamilysurnames.com/wp-content/uploads/2021/04/maher-B-H.jpg" TargetMode="External" Id="rId446" /><Relationship Type="http://schemas.openxmlformats.org/officeDocument/2006/relationships/hyperlink" Target="https://irishfamilysurnames.com/product/mahon/" TargetMode="External" Id="rId447" /><Relationship Type="http://schemas.openxmlformats.org/officeDocument/2006/relationships/hyperlink" Target="https://irishfamilysurnames.com/wp-content/uploads/2021/04/mahon-B-H.jpg" TargetMode="External" Id="rId448" /><Relationship Type="http://schemas.openxmlformats.org/officeDocument/2006/relationships/hyperlink" Target="https://irishfamilysurnames.com/product/mahoney/" TargetMode="External" Id="rId449" /><Relationship Type="http://schemas.openxmlformats.org/officeDocument/2006/relationships/hyperlink" Target="https://irishfamilysurnames.com/wp-content/uploads/2021/04/mahoney-B-H.jpg" TargetMode="External" Id="rId450" /><Relationship Type="http://schemas.openxmlformats.org/officeDocument/2006/relationships/hyperlink" Target="https://irishfamilysurnames.com/product/mahony/" TargetMode="External" Id="rId451" /><Relationship Type="http://schemas.openxmlformats.org/officeDocument/2006/relationships/hyperlink" Target="https://irishfamilysurnames.com/wp-content/uploads/2021/04/mahony-B-H.jpg" TargetMode="External" Id="rId452" /><Relationship Type="http://schemas.openxmlformats.org/officeDocument/2006/relationships/hyperlink" Target="https://irishfamilysurnames.com/product/malley/" TargetMode="External" Id="rId453" /><Relationship Type="http://schemas.openxmlformats.org/officeDocument/2006/relationships/hyperlink" Target="https://irishfamilysurnames.com/wp-content/uploads/2021/04/malley-B-H.jpg" TargetMode="External" Id="rId454" /><Relationship Type="http://schemas.openxmlformats.org/officeDocument/2006/relationships/hyperlink" Target="https://irishfamilysurnames.com/product/malone/" TargetMode="External" Id="rId455" /><Relationship Type="http://schemas.openxmlformats.org/officeDocument/2006/relationships/hyperlink" Target="https://irishfamilysurnames.com/wp-content/uploads/2021/04/malone-B-H.jpg" TargetMode="External" Id="rId456" /><Relationship Type="http://schemas.openxmlformats.org/officeDocument/2006/relationships/hyperlink" Target="https://irishfamilysurnames.com/product/manning/" TargetMode="External" Id="rId457" /><Relationship Type="http://schemas.openxmlformats.org/officeDocument/2006/relationships/hyperlink" Target="https://irishfamilysurnames.com/wp-content/uploads/2021/04/manning-B-H.jpg" TargetMode="External" Id="rId458" /><Relationship Type="http://schemas.openxmlformats.org/officeDocument/2006/relationships/hyperlink" Target="https://irishfamilysurnames.com/product/mara/" TargetMode="External" Id="rId459" /><Relationship Type="http://schemas.openxmlformats.org/officeDocument/2006/relationships/hyperlink" Target="https://irishfamilysurnames.com/wp-content/uploads/2021/04/mara-B-H.jpg" TargetMode="External" Id="rId460" /><Relationship Type="http://schemas.openxmlformats.org/officeDocument/2006/relationships/hyperlink" Target="https://irishfamilysurnames.com/product/martin/" TargetMode="External" Id="rId461" /><Relationship Type="http://schemas.openxmlformats.org/officeDocument/2006/relationships/hyperlink" Target="https://irishfamilysurnames.com/wp-content/uploads/2021/04/martin-B-H.jpg" TargetMode="External" Id="rId462" /><Relationship Type="http://schemas.openxmlformats.org/officeDocument/2006/relationships/hyperlink" Target="https://irishfamilysurnames.com/product/mcauley/" TargetMode="External" Id="rId463" /><Relationship Type="http://schemas.openxmlformats.org/officeDocument/2006/relationships/hyperlink" Target="https://irishfamilysurnames.com/wp-content/uploads/2021/04/mcauley-B-H.jpg" TargetMode="External" Id="rId464" /><Relationship Type="http://schemas.openxmlformats.org/officeDocument/2006/relationships/hyperlink" Target="https://irishfamilysurnames.com/product/mcawley/" TargetMode="External" Id="rId465" /><Relationship Type="http://schemas.openxmlformats.org/officeDocument/2006/relationships/hyperlink" Target="https://irishfamilysurnames.com/wp-content/uploads/2021/04/mcawley-B-H.jpg" TargetMode="External" Id="rId466" /><Relationship Type="http://schemas.openxmlformats.org/officeDocument/2006/relationships/hyperlink" Target="https://irishfamilysurnames.com/product/mccabe/" TargetMode="External" Id="rId467" /><Relationship Type="http://schemas.openxmlformats.org/officeDocument/2006/relationships/hyperlink" Target="https://irishfamilysurnames.com/wp-content/uploads/2021/04/mccabe-B-H.jpg" TargetMode="External" Id="rId468" /><Relationship Type="http://schemas.openxmlformats.org/officeDocument/2006/relationships/hyperlink" Target="https://irishfamilysurnames.com/product/mccann/" TargetMode="External" Id="rId469" /><Relationship Type="http://schemas.openxmlformats.org/officeDocument/2006/relationships/hyperlink" Target="https://irishfamilysurnames.com/wp-content/uploads/2021/04/mccann-BH.jpg" TargetMode="External" Id="rId470" /><Relationship Type="http://schemas.openxmlformats.org/officeDocument/2006/relationships/hyperlink" Target="https://irishfamilysurnames.com/product/mccarthy/" TargetMode="External" Id="rId471" /><Relationship Type="http://schemas.openxmlformats.org/officeDocument/2006/relationships/hyperlink" Target="https://irishfamilysurnames.com/wp-content/uploads/2021/04/mccarthy-B-H.jpg" TargetMode="External" Id="rId472" /><Relationship Type="http://schemas.openxmlformats.org/officeDocument/2006/relationships/hyperlink" Target="https://irishfamilysurnames.com/product/mccormack/" TargetMode="External" Id="rId473" /><Relationship Type="http://schemas.openxmlformats.org/officeDocument/2006/relationships/hyperlink" Target="https://irishfamilysurnames.com/wp-content/uploads/2021/04/mccormack-B-H.jpg" TargetMode="External" Id="rId474" /><Relationship Type="http://schemas.openxmlformats.org/officeDocument/2006/relationships/hyperlink" Target="https://irishfamilysurnames.com/product/mccormick/" TargetMode="External" Id="rId475" /><Relationship Type="http://schemas.openxmlformats.org/officeDocument/2006/relationships/hyperlink" Target="https://irishfamilysurnames.com/wp-content/uploads/2021/04/mccormick-B-H.jpg" TargetMode="External" Id="rId476" /><Relationship Type="http://schemas.openxmlformats.org/officeDocument/2006/relationships/hyperlink" Target="https://irishfamilysurnames.com/product/mcdermot/" TargetMode="External" Id="rId477" /><Relationship Type="http://schemas.openxmlformats.org/officeDocument/2006/relationships/hyperlink" Target="https://irishfamilysurnames.com/wp-content/uploads/2021/04/mcdermot-B-H.jpg" TargetMode="External" Id="rId478" /><Relationship Type="http://schemas.openxmlformats.org/officeDocument/2006/relationships/hyperlink" Target="https://irishfamilysurnames.com/product/mcdermott/" TargetMode="External" Id="rId479" /><Relationship Type="http://schemas.openxmlformats.org/officeDocument/2006/relationships/hyperlink" Target="https://irishfamilysurnames.com/wp-content/uploads/2021/04/mcdermott-B-H.jpg" TargetMode="External" Id="rId480" /><Relationship Type="http://schemas.openxmlformats.org/officeDocument/2006/relationships/hyperlink" Target="https://irishfamilysurnames.com/product/mcdonagh/" TargetMode="External" Id="rId481" /><Relationship Type="http://schemas.openxmlformats.org/officeDocument/2006/relationships/hyperlink" Target="https://irishfamilysurnames.com/wp-content/uploads/2021/04/mcdonagh-B-H.jpg" TargetMode="External" Id="rId482" /><Relationship Type="http://schemas.openxmlformats.org/officeDocument/2006/relationships/hyperlink" Target="https://irishfamilysurnames.com/product/mcdonald/" TargetMode="External" Id="rId483" /><Relationship Type="http://schemas.openxmlformats.org/officeDocument/2006/relationships/hyperlink" Target="https://irishfamilysurnames.com/wp-content/uploads/2021/04/mcdonald-B-H.jpg" TargetMode="External" Id="rId484" /><Relationship Type="http://schemas.openxmlformats.org/officeDocument/2006/relationships/hyperlink" Target="https://irishfamilysurnames.com/product/mcdonnell/" TargetMode="External" Id="rId485" /><Relationship Type="http://schemas.openxmlformats.org/officeDocument/2006/relationships/hyperlink" Target="https://irishfamilysurnames.com/wp-content/uploads/2021/04/mcdonnell-B-H.jpg" TargetMode="External" Id="rId486" /><Relationship Type="http://schemas.openxmlformats.org/officeDocument/2006/relationships/hyperlink" Target="https://irishfamilysurnames.com/product/mcdowell/" TargetMode="External" Id="rId487" /><Relationship Type="http://schemas.openxmlformats.org/officeDocument/2006/relationships/hyperlink" Target="https://irishfamilysurnames.com/wp-content/uploads/2021/04/mcdowell-B-H.jpg" TargetMode="External" Id="rId488" /><Relationship Type="http://schemas.openxmlformats.org/officeDocument/2006/relationships/hyperlink" Target="https://irishfamilysurnames.com/product/mcelroy/" TargetMode="External" Id="rId489" /><Relationship Type="http://schemas.openxmlformats.org/officeDocument/2006/relationships/hyperlink" Target="https://irishfamilysurnames.com/wp-content/uploads/2021/04/mcelroy-B-H.jpg" TargetMode="External" Id="rId490" /><Relationship Type="http://schemas.openxmlformats.org/officeDocument/2006/relationships/hyperlink" Target="https://irishfamilysurnames.com/product/mcevoy/" TargetMode="External" Id="rId491" /><Relationship Type="http://schemas.openxmlformats.org/officeDocument/2006/relationships/hyperlink" Target="https://irishfamilysurnames.com/wp-content/uploads/2021/04/mcevoy-B-H.jpg" TargetMode="External" Id="rId492" /><Relationship Type="http://schemas.openxmlformats.org/officeDocument/2006/relationships/hyperlink" Target="https://irishfamilysurnames.com/product/mcgee/" TargetMode="External" Id="rId493" /><Relationship Type="http://schemas.openxmlformats.org/officeDocument/2006/relationships/hyperlink" Target="https://irishfamilysurnames.com/wp-content/uploads/2021/04/mcgee-B-H.jpg" TargetMode="External" Id="rId494" /><Relationship Type="http://schemas.openxmlformats.org/officeDocument/2006/relationships/hyperlink" Target="https://irishfamilysurnames.com/product/mcginley/" TargetMode="External" Id="rId495" /><Relationship Type="http://schemas.openxmlformats.org/officeDocument/2006/relationships/hyperlink" Target="https://irishfamilysurnames.com/wp-content/uploads/2021/04/mcginley-B-H.jpg" TargetMode="External" Id="rId496" /><Relationship Type="http://schemas.openxmlformats.org/officeDocument/2006/relationships/hyperlink" Target="https://irishfamilysurnames.com/product/mcgovern/" TargetMode="External" Id="rId497" /><Relationship Type="http://schemas.openxmlformats.org/officeDocument/2006/relationships/hyperlink" Target="https://irishfamilysurnames.com/wp-content/uploads/2021/04/mcgovern-B-H.jpg" TargetMode="External" Id="rId498" /><Relationship Type="http://schemas.openxmlformats.org/officeDocument/2006/relationships/hyperlink" Target="https://irishfamilysurnames.com/product/mcgowan/" TargetMode="External" Id="rId499" /><Relationship Type="http://schemas.openxmlformats.org/officeDocument/2006/relationships/hyperlink" Target="https://irishfamilysurnames.com/wp-content/uploads/2021/04/mcgowan-B-H.jpg" TargetMode="External" Id="rId500" /><Relationship Type="http://schemas.openxmlformats.org/officeDocument/2006/relationships/hyperlink" Target="https://irishfamilysurnames.com/product/mcgrath/" TargetMode="External" Id="rId501" /><Relationship Type="http://schemas.openxmlformats.org/officeDocument/2006/relationships/hyperlink" Target="https://irishfamilysurnames.com/wp-content/uploads/2021/04/mcgrath-B-H.jpg" TargetMode="External" Id="rId502" /><Relationship Type="http://schemas.openxmlformats.org/officeDocument/2006/relationships/hyperlink" Target="https://irishfamilysurnames.com/product/mcguinness/" TargetMode="External" Id="rId503" /><Relationship Type="http://schemas.openxmlformats.org/officeDocument/2006/relationships/hyperlink" Target="https://irishfamilysurnames.com/wp-content/uploads/2021/04/mcguinness-B-H.jpg" TargetMode="External" Id="rId504" /><Relationship Type="http://schemas.openxmlformats.org/officeDocument/2006/relationships/hyperlink" Target="https://irishfamilysurnames.com/product/mcguire/" TargetMode="External" Id="rId505" /><Relationship Type="http://schemas.openxmlformats.org/officeDocument/2006/relationships/hyperlink" Target="https://irishfamilysurnames.com/wp-content/uploads/2021/04/mcguire-B-H.jpg" TargetMode="External" Id="rId506" /><Relationship Type="http://schemas.openxmlformats.org/officeDocument/2006/relationships/hyperlink" Target="https://irishfamilysurnames.com/product/mchugh/" TargetMode="External" Id="rId507" /><Relationship Type="http://schemas.openxmlformats.org/officeDocument/2006/relationships/hyperlink" Target="https://irishfamilysurnames.com/wp-content/uploads/2021/04/mchugh-B-H.jpg" TargetMode="External" Id="rId508" /><Relationship Type="http://schemas.openxmlformats.org/officeDocument/2006/relationships/hyperlink" Target="https://irishfamilysurnames.com/product/mcinerney/" TargetMode="External" Id="rId509" /><Relationship Type="http://schemas.openxmlformats.org/officeDocument/2006/relationships/hyperlink" Target="https://irishfamilysurnames.com/wp-content/uploads/2021/04/mcinerney-B-H.jpg" TargetMode="External" Id="rId510" /><Relationship Type="http://schemas.openxmlformats.org/officeDocument/2006/relationships/hyperlink" Target="https://irishfamilysurnames.com/product/mckee/" TargetMode="External" Id="rId511" /><Relationship Type="http://schemas.openxmlformats.org/officeDocument/2006/relationships/hyperlink" Target="https://irishfamilysurnames.com/wp-content/uploads/2021/04/mckee-B-H.jpg" TargetMode="External" Id="rId512" /><Relationship Type="http://schemas.openxmlformats.org/officeDocument/2006/relationships/hyperlink" Target="https://irishfamilysurnames.com/product/mckenna/" TargetMode="External" Id="rId513" /><Relationship Type="http://schemas.openxmlformats.org/officeDocument/2006/relationships/hyperlink" Target="https://irishfamilysurnames.com/wp-content/uploads/2021/04/mckenna-B-H.jpg" TargetMode="External" Id="rId514" /><Relationship Type="http://schemas.openxmlformats.org/officeDocument/2006/relationships/hyperlink" Target="https://irishfamilysurnames.com/product/mckeogh/" TargetMode="External" Id="rId515" /><Relationship Type="http://schemas.openxmlformats.org/officeDocument/2006/relationships/hyperlink" Target="https://irishfamilysurnames.com/wp-content/uploads/2021/04/mckeogh-B-H.jpg" TargetMode="External" Id="rId516" /><Relationship Type="http://schemas.openxmlformats.org/officeDocument/2006/relationships/hyperlink" Target="https://irishfamilysurnames.com/product/mclaughlin/" TargetMode="External" Id="rId517" /><Relationship Type="http://schemas.openxmlformats.org/officeDocument/2006/relationships/hyperlink" Target="https://irishfamilysurnames.com/wp-content/uploads/2021/04/mclaughlin-B-H.jpg" TargetMode="External" Id="rId518" /><Relationship Type="http://schemas.openxmlformats.org/officeDocument/2006/relationships/hyperlink" Target="https://irishfamilysurnames.com/product/mcloughlin/" TargetMode="External" Id="rId519" /><Relationship Type="http://schemas.openxmlformats.org/officeDocument/2006/relationships/hyperlink" Target="https://irishfamilysurnames.com/wp-content/uploads/2021/04/mcloughlin-B-H.jpg" TargetMode="External" Id="rId520" /><Relationship Type="http://schemas.openxmlformats.org/officeDocument/2006/relationships/hyperlink" Target="https://irishfamilysurnames.com/product/mcmahon/" TargetMode="External" Id="rId521" /><Relationship Type="http://schemas.openxmlformats.org/officeDocument/2006/relationships/hyperlink" Target="https://irishfamilysurnames.com/wp-content/uploads/2021/04/mcmahon-B-H.jpg" TargetMode="External" Id="rId522" /><Relationship Type="http://schemas.openxmlformats.org/officeDocument/2006/relationships/hyperlink" Target="https://irishfamilysurnames.com/product/mcmanus/" TargetMode="External" Id="rId523" /><Relationship Type="http://schemas.openxmlformats.org/officeDocument/2006/relationships/hyperlink" Target="https://irishfamilysurnames.com/wp-content/uploads/2021/04/mcmanus-B-H.jpg" TargetMode="External" Id="rId524" /><Relationship Type="http://schemas.openxmlformats.org/officeDocument/2006/relationships/hyperlink" Target="https://irishfamilysurnames.com/product/mcnally/" TargetMode="External" Id="rId525" /><Relationship Type="http://schemas.openxmlformats.org/officeDocument/2006/relationships/hyperlink" Target="https://irishfamilysurnames.com/wp-content/uploads/2021/04/mcnally-B-H.jpg" TargetMode="External" Id="rId526" /><Relationship Type="http://schemas.openxmlformats.org/officeDocument/2006/relationships/hyperlink" Target="https://irishfamilysurnames.com/product/mcnamara/" TargetMode="External" Id="rId527" /><Relationship Type="http://schemas.openxmlformats.org/officeDocument/2006/relationships/hyperlink" Target="https://irishfamilysurnames.com/wp-content/uploads/2021/04/mcnamara-B-H.jpg" TargetMode="External" Id="rId528" /><Relationship Type="http://schemas.openxmlformats.org/officeDocument/2006/relationships/hyperlink" Target="https://irishfamilysurnames.com/product/mcsweeney/" TargetMode="External" Id="rId529" /><Relationship Type="http://schemas.openxmlformats.org/officeDocument/2006/relationships/hyperlink" Target="https://irishfamilysurnames.com/wp-content/uploads/2021/04/mcsweeney-B-H.jpg" TargetMode="External" Id="rId530" /><Relationship Type="http://schemas.openxmlformats.org/officeDocument/2006/relationships/hyperlink" Target="https://irishfamilysurnames.com/product/meagher/" TargetMode="External" Id="rId531" /><Relationship Type="http://schemas.openxmlformats.org/officeDocument/2006/relationships/hyperlink" Target="https://irishfamilysurnames.com/wp-content/uploads/2021/04/meagher-B-H.jpg" TargetMode="External" Id="rId532" /><Relationship Type="http://schemas.openxmlformats.org/officeDocument/2006/relationships/hyperlink" Target="https://irishfamilysurnames.com/product/meara/" TargetMode="External" Id="rId533" /><Relationship Type="http://schemas.openxmlformats.org/officeDocument/2006/relationships/hyperlink" Target="https://irishfamilysurnames.com/wp-content/uploads/2021/04/meara-B-H.jpg" TargetMode="External" Id="rId534" /><Relationship Type="http://schemas.openxmlformats.org/officeDocument/2006/relationships/hyperlink" Target="https://irishfamilysurnames.com/product/meehan/" TargetMode="External" Id="rId535" /><Relationship Type="http://schemas.openxmlformats.org/officeDocument/2006/relationships/hyperlink" Target="https://irishfamilysurnames.com/wp-content/uploads/2021/04/meehan-B-H.jpg" TargetMode="External" Id="rId536" /><Relationship Type="http://schemas.openxmlformats.org/officeDocument/2006/relationships/hyperlink" Target="https://irishfamilysurnames.com/product/miller/" TargetMode="External" Id="rId537" /><Relationship Type="http://schemas.openxmlformats.org/officeDocument/2006/relationships/hyperlink" Target="https://irishfamilysurnames.com/wp-content/uploads/2021/04/miller-B-H.jpg" TargetMode="External" Id="rId538" /><Relationship Type="http://schemas.openxmlformats.org/officeDocument/2006/relationships/hyperlink" Target="https://irishfamilysurnames.com/product/mitchell/" TargetMode="External" Id="rId539" /><Relationship Type="http://schemas.openxmlformats.org/officeDocument/2006/relationships/hyperlink" Target="https://irishfamilysurnames.com/wp-content/uploads/2021/04/mitchell-B-H.jpg" TargetMode="External" Id="rId540" /><Relationship Type="http://schemas.openxmlformats.org/officeDocument/2006/relationships/hyperlink" Target="https://irishfamilysurnames.com/product/molloy/" TargetMode="External" Id="rId541" /><Relationship Type="http://schemas.openxmlformats.org/officeDocument/2006/relationships/hyperlink" Target="https://irishfamilysurnames.com/wp-content/uploads/2021/04/molloy-B-H.jpg" TargetMode="External" Id="rId542" /><Relationship Type="http://schemas.openxmlformats.org/officeDocument/2006/relationships/hyperlink" Target="https://irishfamilysurnames.com/product/moloney/" TargetMode="External" Id="rId543" /><Relationship Type="http://schemas.openxmlformats.org/officeDocument/2006/relationships/hyperlink" Target="https://irishfamilysurnames.com/wp-content/uploads/2021/04/moloney-B-H.jpg" TargetMode="External" Id="rId544" /><Relationship Type="http://schemas.openxmlformats.org/officeDocument/2006/relationships/hyperlink" Target="https://irishfamilysurnames.com/product/monaghan/" TargetMode="External" Id="rId545" /><Relationship Type="http://schemas.openxmlformats.org/officeDocument/2006/relationships/hyperlink" Target="https://irishfamilysurnames.com/wp-content/uploads/2021/04/monaghan-B-H.jpg" TargetMode="External" Id="rId546" /><Relationship Type="http://schemas.openxmlformats.org/officeDocument/2006/relationships/hyperlink" Target="https://irishfamilysurnames.com/product/monahan/" TargetMode="External" Id="rId547" /><Relationship Type="http://schemas.openxmlformats.org/officeDocument/2006/relationships/hyperlink" Target="https://irishfamilysurnames.com/wp-content/uploads/2021/04/monahan-B-H.jpg" TargetMode="External" Id="rId548" /><Relationship Type="http://schemas.openxmlformats.org/officeDocument/2006/relationships/hyperlink" Target="https://irishfamilysurnames.com/product/mooney/" TargetMode="External" Id="rId549" /><Relationship Type="http://schemas.openxmlformats.org/officeDocument/2006/relationships/hyperlink" Target="https://irishfamilysurnames.com/wp-content/uploads/2021/04/mooney-B-H.jpg" TargetMode="External" Id="rId550" /><Relationship Type="http://schemas.openxmlformats.org/officeDocument/2006/relationships/hyperlink" Target="https://irishfamilysurnames.com/product/moore/" TargetMode="External" Id="rId551" /><Relationship Type="http://schemas.openxmlformats.org/officeDocument/2006/relationships/hyperlink" Target="https://irishfamilysurnames.com/wp-content/uploads/2021/04/moore-B-H.jpg" TargetMode="External" Id="rId552" /><Relationship Type="http://schemas.openxmlformats.org/officeDocument/2006/relationships/hyperlink" Target="https://irishfamilysurnames.com/product/moran/" TargetMode="External" Id="rId553" /><Relationship Type="http://schemas.openxmlformats.org/officeDocument/2006/relationships/hyperlink" Target="https://irishfamilysurnames.com/wp-content/uploads/2021/04/moran-B-H.jpg" TargetMode="External" Id="rId554" /><Relationship Type="http://schemas.openxmlformats.org/officeDocument/2006/relationships/hyperlink" Target="https://irishfamilysurnames.com/product/moriarty/" TargetMode="External" Id="rId555" /><Relationship Type="http://schemas.openxmlformats.org/officeDocument/2006/relationships/hyperlink" Target="https://irishfamilysurnames.com/wp-content/uploads/2021/04/moriarty-B-H.jpg" TargetMode="External" Id="rId556" /><Relationship Type="http://schemas.openxmlformats.org/officeDocument/2006/relationships/hyperlink" Target="https://irishfamilysurnames.com/product/morris/" TargetMode="External" Id="rId557" /><Relationship Type="http://schemas.openxmlformats.org/officeDocument/2006/relationships/hyperlink" Target="https://irishfamilysurnames.com/wp-content/uploads/2021/04/morris-B-H.jpg" TargetMode="External" Id="rId558" /><Relationship Type="http://schemas.openxmlformats.org/officeDocument/2006/relationships/hyperlink" Target="https://irishfamilysurnames.com/product/mullan/" TargetMode="External" Id="rId559" /><Relationship Type="http://schemas.openxmlformats.org/officeDocument/2006/relationships/hyperlink" Target="https://irishfamilysurnames.com/wp-content/uploads/2021/04/mullan-B-H.jpg" TargetMode="External" Id="rId560" /><Relationship Type="http://schemas.openxmlformats.org/officeDocument/2006/relationships/hyperlink" Target="https://irishfamilysurnames.com/product/mullen/" TargetMode="External" Id="rId561" /><Relationship Type="http://schemas.openxmlformats.org/officeDocument/2006/relationships/hyperlink" Target="https://irishfamilysurnames.com/wp-content/uploads/2021/04/mullen-B-H.jpg" TargetMode="External" Id="rId562" /><Relationship Type="http://schemas.openxmlformats.org/officeDocument/2006/relationships/hyperlink" Target="https://irishfamilysurnames.com/product/mulligan/" TargetMode="External" Id="rId563" /><Relationship Type="http://schemas.openxmlformats.org/officeDocument/2006/relationships/hyperlink" Target="https://irishfamilysurnames.com/wp-content/uploads/2021/04/mulligan-B-H.jpg" TargetMode="External" Id="rId564" /><Relationship Type="http://schemas.openxmlformats.org/officeDocument/2006/relationships/hyperlink" Target="https://irishfamilysurnames.com/product/murphy/" TargetMode="External" Id="rId565" /><Relationship Type="http://schemas.openxmlformats.org/officeDocument/2006/relationships/hyperlink" Target="https://irishfamilysurnames.com/wp-content/uploads/2021/04/murphy-B-H.jpg" TargetMode="External" Id="rId566" /><Relationship Type="http://schemas.openxmlformats.org/officeDocument/2006/relationships/hyperlink" Target="https://irishfamilysurnames.com/product/murray/" TargetMode="External" Id="rId567" /><Relationship Type="http://schemas.openxmlformats.org/officeDocument/2006/relationships/hyperlink" Target="https://irishfamilysurnames.com/wp-content/uploads/2021/04/murray-B-H.jpg" TargetMode="External" Id="rId568" /><Relationship Type="http://schemas.openxmlformats.org/officeDocument/2006/relationships/hyperlink" Target="https://irishfamilysurnames.com/product/nally/" TargetMode="External" Id="rId569" /><Relationship Type="http://schemas.openxmlformats.org/officeDocument/2006/relationships/hyperlink" Target="https://irishfamilysurnames.com/wp-content/uploads/2021/04/nally-B-H.jpg" TargetMode="External" Id="rId570" /><Relationship Type="http://schemas.openxmlformats.org/officeDocument/2006/relationships/hyperlink" Target="https://irishfamilysurnames.com/product/neill/" TargetMode="External" Id="rId571" /><Relationship Type="http://schemas.openxmlformats.org/officeDocument/2006/relationships/hyperlink" Target="https://irishfamilysurnames.com/wp-content/uploads/2021/04/neill-B-H.jpg" TargetMode="External" Id="rId572" /><Relationship Type="http://schemas.openxmlformats.org/officeDocument/2006/relationships/hyperlink" Target="https://irishfamilysurnames.com/product/nolan/" TargetMode="External" Id="rId573" /><Relationship Type="http://schemas.openxmlformats.org/officeDocument/2006/relationships/hyperlink" Target="https://irishfamilysurnames.com/wp-content/uploads/2021/04/nolan-B-H.jpg" TargetMode="External" Id="rId574" /><Relationship Type="http://schemas.openxmlformats.org/officeDocument/2006/relationships/hyperlink" Target="https://irishfamilysurnames.com/product/nugent/" TargetMode="External" Id="rId575" /><Relationship Type="http://schemas.openxmlformats.org/officeDocument/2006/relationships/hyperlink" Target="https://irishfamilysurnames.com/wp-content/uploads/2021/04/nugent-B-H.jpg" TargetMode="External" Id="rId576" /><Relationship Type="http://schemas.openxmlformats.org/officeDocument/2006/relationships/hyperlink" Target="https://irishfamilysurnames.com/product/oboyle/" TargetMode="External" Id="rId577" /><Relationship Type="http://schemas.openxmlformats.org/officeDocument/2006/relationships/hyperlink" Target="https://irishfamilysurnames.com/wp-content/uploads/2021/04/o-boyle-B-H.jpg" TargetMode="External" Id="rId578" /><Relationship Type="http://schemas.openxmlformats.org/officeDocument/2006/relationships/hyperlink" Target="https://irishfamilysurnames.com/product/obrien/" TargetMode="External" Id="rId579" /><Relationship Type="http://schemas.openxmlformats.org/officeDocument/2006/relationships/hyperlink" Target="https://irishfamilysurnames.com/wp-content/uploads/2021/04/o-brien-B-H.jpg" TargetMode="External" Id="rId580" /><Relationship Type="http://schemas.openxmlformats.org/officeDocument/2006/relationships/hyperlink" Target="https://irishfamilysurnames.com/product/obyrne/" TargetMode="External" Id="rId581" /><Relationship Type="http://schemas.openxmlformats.org/officeDocument/2006/relationships/hyperlink" Target="https://irishfamilysurnames.com/wp-content/uploads/2021/04/o-byrne-B-H.jpg" TargetMode="External" Id="rId582" /><Relationship Type="http://schemas.openxmlformats.org/officeDocument/2006/relationships/hyperlink" Target="https://irishfamilysurnames.com/product/ocallaghan/" TargetMode="External" Id="rId583" /><Relationship Type="http://schemas.openxmlformats.org/officeDocument/2006/relationships/hyperlink" Target="https://irishfamilysurnames.com/wp-content/uploads/2021/04/o-callaghan-B-H.jpg" TargetMode="External" Id="rId584" /><Relationship Type="http://schemas.openxmlformats.org/officeDocument/2006/relationships/hyperlink" Target="https://irishfamilysurnames.com/product/ocarroll/" TargetMode="External" Id="rId585" /><Relationship Type="http://schemas.openxmlformats.org/officeDocument/2006/relationships/hyperlink" Target="https://irishfamilysurnames.com/wp-content/uploads/2021/04/o-carroll-B-H.jpg" TargetMode="External" Id="rId586" /><Relationship Type="http://schemas.openxmlformats.org/officeDocument/2006/relationships/hyperlink" Target="https://irishfamilysurnames.com/product/oconnell/" TargetMode="External" Id="rId587" /><Relationship Type="http://schemas.openxmlformats.org/officeDocument/2006/relationships/hyperlink" Target="https://irishfamilysurnames.com/wp-content/uploads/2021/04/o-connell-B-H.jpg" TargetMode="External" Id="rId588" /><Relationship Type="http://schemas.openxmlformats.org/officeDocument/2006/relationships/hyperlink" Target="https://irishfamilysurnames.com/product/oconnor/" TargetMode="External" Id="rId589" /><Relationship Type="http://schemas.openxmlformats.org/officeDocument/2006/relationships/hyperlink" Target="https://irishfamilysurnames.com/wp-content/uploads/2021/04/o-connor-B-H.jpg" TargetMode="External" Id="rId590" /><Relationship Type="http://schemas.openxmlformats.org/officeDocument/2006/relationships/hyperlink" Target="https://irishfamilysurnames.com/product/odaugherty/" TargetMode="External" Id="rId591" /><Relationship Type="http://schemas.openxmlformats.org/officeDocument/2006/relationships/hyperlink" Target="https://irishfamilysurnames.com/wp-content/uploads/2021/04/o-daugherty-B-H.jpg" TargetMode="External" Id="rId592" /><Relationship Type="http://schemas.openxmlformats.org/officeDocument/2006/relationships/hyperlink" Target="https://irishfamilysurnames.com/product/odoherty/" TargetMode="External" Id="rId593" /><Relationship Type="http://schemas.openxmlformats.org/officeDocument/2006/relationships/hyperlink" Target="https://irishfamilysurnames.com/wp-content/uploads/2021/04/o-doherty-B-H.jpg" TargetMode="External" Id="rId594" /><Relationship Type="http://schemas.openxmlformats.org/officeDocument/2006/relationships/hyperlink" Target="https://irishfamilysurnames.com/product/odonnell/" TargetMode="External" Id="rId595" /><Relationship Type="http://schemas.openxmlformats.org/officeDocument/2006/relationships/hyperlink" Target="https://irishfamilysurnames.com/wp-content/uploads/2021/04/o-donnell-B-H.jpg" TargetMode="External" Id="rId596" /><Relationship Type="http://schemas.openxmlformats.org/officeDocument/2006/relationships/hyperlink" Target="https://irishfamilysurnames.com/product/odonoghoe/" TargetMode="External" Id="rId597" /><Relationship Type="http://schemas.openxmlformats.org/officeDocument/2006/relationships/hyperlink" Target="https://irishfamilysurnames.com/wp-content/uploads/2021/04/o-donoghoe-B-H.jpg" TargetMode="External" Id="rId598" /><Relationship Type="http://schemas.openxmlformats.org/officeDocument/2006/relationships/hyperlink" Target="https://irishfamilysurnames.com/product/odonoghue/" TargetMode="External" Id="rId599" /><Relationship Type="http://schemas.openxmlformats.org/officeDocument/2006/relationships/hyperlink" Target="https://irishfamilysurnames.com/wp-content/uploads/2021/04/o-donoghue-B-H.jpg" TargetMode="External" Id="rId600" /><Relationship Type="http://schemas.openxmlformats.org/officeDocument/2006/relationships/hyperlink" Target="https://irishfamilysurnames.com/product/odonohoe/" TargetMode="External" Id="rId601" /><Relationship Type="http://schemas.openxmlformats.org/officeDocument/2006/relationships/hyperlink" Target="https://irishfamilysurnames.com/wp-content/uploads/2021/04/odonohoe-B-H.jpg" TargetMode="External" Id="rId602" /><Relationship Type="http://schemas.openxmlformats.org/officeDocument/2006/relationships/hyperlink" Target="https://irishfamilysurnames.com/product/odonovan-2/" TargetMode="External" Id="rId603" /><Relationship Type="http://schemas.openxmlformats.org/officeDocument/2006/relationships/hyperlink" Target="https://irishfamilysurnames.com/wp-content/uploads/2021/04/odonovan-B-H.jpg" TargetMode="External" Id="rId604" /><Relationship Type="http://schemas.openxmlformats.org/officeDocument/2006/relationships/hyperlink" Target="https://irishfamilysurnames.com/product/odougherty/" TargetMode="External" Id="rId605" /><Relationship Type="http://schemas.openxmlformats.org/officeDocument/2006/relationships/hyperlink" Target="https://irishfamilysurnames.com/wp-content/uploads/2021/04/o-dougherty-B-H.jpg" TargetMode="External" Id="rId606" /><Relationship Type="http://schemas.openxmlformats.org/officeDocument/2006/relationships/hyperlink" Target="https://irishfamilysurnames.com/product/odriscoll/" TargetMode="External" Id="rId607" /><Relationship Type="http://schemas.openxmlformats.org/officeDocument/2006/relationships/hyperlink" Target="https://irishfamilysurnames.com/wp-content/uploads/2021/04/o-driscoll-B-H.jpg" TargetMode="External" Id="rId608" /><Relationship Type="http://schemas.openxmlformats.org/officeDocument/2006/relationships/hyperlink" Target="https://irishfamilysurnames.com/product/oduffy/" TargetMode="External" Id="rId609" /><Relationship Type="http://schemas.openxmlformats.org/officeDocument/2006/relationships/hyperlink" Target="https://irishfamilysurnames.com/wp-content/uploads/2021/04/o-duffy-B-H.jpg" TargetMode="External" Id="rId610" /><Relationship Type="http://schemas.openxmlformats.org/officeDocument/2006/relationships/hyperlink" Target="https://irishfamilysurnames.com/product/odwyer/" TargetMode="External" Id="rId611" /><Relationship Type="http://schemas.openxmlformats.org/officeDocument/2006/relationships/hyperlink" Target="https://irishfamilysurnames.com/wp-content/uploads/2021/04/o-dwyer-B-H.jpg" TargetMode="External" Id="rId612" /><Relationship Type="http://schemas.openxmlformats.org/officeDocument/2006/relationships/hyperlink" Target="https://irishfamilysurnames.com/product/ofarrell/" TargetMode="External" Id="rId613" /><Relationship Type="http://schemas.openxmlformats.org/officeDocument/2006/relationships/hyperlink" Target="https://irishfamilysurnames.com/wp-content/uploads/2021/04/o-farrell-B-H.jpg" TargetMode="External" Id="rId614" /><Relationship Type="http://schemas.openxmlformats.org/officeDocument/2006/relationships/hyperlink" Target="https://irishfamilysurnames.com/product/oflaherty/" TargetMode="External" Id="rId615" /><Relationship Type="http://schemas.openxmlformats.org/officeDocument/2006/relationships/hyperlink" Target="https://irishfamilysurnames.com/wp-content/uploads/2021/04/o-flaherty-B-H.jpg" TargetMode="External" Id="rId616" /><Relationship Type="http://schemas.openxmlformats.org/officeDocument/2006/relationships/hyperlink" Target="https://irishfamilysurnames.com/product/oflanagan/" TargetMode="External" Id="rId617" /><Relationship Type="http://schemas.openxmlformats.org/officeDocument/2006/relationships/hyperlink" Target="https://irishfamilysurnames.com/wp-content/uploads/2021/04/o-flanagan-B-H.jpg" TargetMode="External" Id="rId618" /><Relationship Type="http://schemas.openxmlformats.org/officeDocument/2006/relationships/hyperlink" Target="https://irishfamilysurnames.com/product/oflynn/" TargetMode="External" Id="rId619" /><Relationship Type="http://schemas.openxmlformats.org/officeDocument/2006/relationships/hyperlink" Target="https://irishfamilysurnames.com/wp-content/uploads/2021/04/o-flynn-B-H.jpg" TargetMode="External" Id="rId620" /><Relationship Type="http://schemas.openxmlformats.org/officeDocument/2006/relationships/hyperlink" Target="https://irishfamilysurnames.com/product/ogorman/" TargetMode="External" Id="rId621" /><Relationship Type="http://schemas.openxmlformats.org/officeDocument/2006/relationships/hyperlink" Target="https://irishfamilysurnames.com/wp-content/uploads/2021/04/o-gorman-B-H.jpg" TargetMode="External" Id="rId622" /><Relationship Type="http://schemas.openxmlformats.org/officeDocument/2006/relationships/hyperlink" Target="https://irishfamilysurnames.com/product/ogrady/" TargetMode="External" Id="rId623" /><Relationship Type="http://schemas.openxmlformats.org/officeDocument/2006/relationships/hyperlink" Target="https://irishfamilysurnames.com/wp-content/uploads/2021/04/o-grady-B-H.jpg" TargetMode="External" Id="rId624" /><Relationship Type="http://schemas.openxmlformats.org/officeDocument/2006/relationships/hyperlink" Target="https://irishfamilysurnames.com/product/ohagan/" TargetMode="External" Id="rId625" /><Relationship Type="http://schemas.openxmlformats.org/officeDocument/2006/relationships/hyperlink" Target="https://irishfamilysurnames.com/wp-content/uploads/2021/04/o-hagan-B-H.jpg" TargetMode="External" Id="rId626" /><Relationship Type="http://schemas.openxmlformats.org/officeDocument/2006/relationships/hyperlink" Target="https://irishfamilysurnames.com/product/ohalloran/" TargetMode="External" Id="rId627" /><Relationship Type="http://schemas.openxmlformats.org/officeDocument/2006/relationships/hyperlink" Target="https://irishfamilysurnames.com/wp-content/uploads/2021/04/o-halloran-B-H.jpg" TargetMode="External" Id="rId628" /><Relationship Type="http://schemas.openxmlformats.org/officeDocument/2006/relationships/hyperlink" Target="https://irishfamilysurnames.com/product/ohanlon/" TargetMode="External" Id="rId629" /><Relationship Type="http://schemas.openxmlformats.org/officeDocument/2006/relationships/hyperlink" Target="https://irishfamilysurnames.com/wp-content/uploads/2021/04/ohanlon-B-H.jpg" TargetMode="External" Id="rId630" /><Relationship Type="http://schemas.openxmlformats.org/officeDocument/2006/relationships/hyperlink" Target="https://irishfamilysurnames.com/product/ohara/" TargetMode="External" Id="rId631" /><Relationship Type="http://schemas.openxmlformats.org/officeDocument/2006/relationships/hyperlink" Target="https://irishfamilysurnames.com/wp-content/uploads/2021/04/o-hara-B-H.jpg" TargetMode="External" Id="rId632" /><Relationship Type="http://schemas.openxmlformats.org/officeDocument/2006/relationships/hyperlink" Target="https://irishfamilysurnames.com/product/ohart/" TargetMode="External" Id="rId633" /><Relationship Type="http://schemas.openxmlformats.org/officeDocument/2006/relationships/hyperlink" Target="https://irishfamilysurnames.com/wp-content/uploads/2021/04/o-hart-B-H.jpg" TargetMode="External" Id="rId634" /><Relationship Type="http://schemas.openxmlformats.org/officeDocument/2006/relationships/hyperlink" Target="https://irishfamilysurnames.com/product/ohiggins/" TargetMode="External" Id="rId635" /><Relationship Type="http://schemas.openxmlformats.org/officeDocument/2006/relationships/hyperlink" Target="https://irishfamilysurnames.com/wp-content/uploads/2021/04/o-higgins-B-H.jpg" TargetMode="External" Id="rId636" /><Relationship Type="http://schemas.openxmlformats.org/officeDocument/2006/relationships/hyperlink" Target="https://irishfamilysurnames.com/product/okeefe/" TargetMode="External" Id="rId637" /><Relationship Type="http://schemas.openxmlformats.org/officeDocument/2006/relationships/hyperlink" Target="https://irishfamilysurnames.com/wp-content/uploads/2021/04/o-keefe-B-H.jpg" TargetMode="External" Id="rId638" /><Relationship Type="http://schemas.openxmlformats.org/officeDocument/2006/relationships/hyperlink" Target="https://irishfamilysurnames.com/product/okeeffe/" TargetMode="External" Id="rId639" /><Relationship Type="http://schemas.openxmlformats.org/officeDocument/2006/relationships/hyperlink" Target="https://irishfamilysurnames.com/wp-content/uploads/2021/04/o-keeffe-B-H.jpg" TargetMode="External" Id="rId640" /><Relationship Type="http://schemas.openxmlformats.org/officeDocument/2006/relationships/hyperlink" Target="https://irishfamilysurnames.com/product/okelly/" TargetMode="External" Id="rId641" /><Relationship Type="http://schemas.openxmlformats.org/officeDocument/2006/relationships/hyperlink" Target="https://irishfamilysurnames.com/wp-content/uploads/2021/04/o-kelly-B-H.jpg" TargetMode="External" Id="rId642" /><Relationship Type="http://schemas.openxmlformats.org/officeDocument/2006/relationships/hyperlink" Target="https://irishfamilysurnames.com/product/olaughlin/" TargetMode="External" Id="rId643" /><Relationship Type="http://schemas.openxmlformats.org/officeDocument/2006/relationships/hyperlink" Target="https://irishfamilysurnames.com/wp-content/uploads/2021/04/o-laughlin-B-H.jpg" TargetMode="External" Id="rId644" /><Relationship Type="http://schemas.openxmlformats.org/officeDocument/2006/relationships/hyperlink" Target="https://irishfamilysurnames.com/product/oleary/" TargetMode="External" Id="rId645" /><Relationship Type="http://schemas.openxmlformats.org/officeDocument/2006/relationships/hyperlink" Target="https://irishfamilysurnames.com/wp-content/uploads/2021/04/o-leary-B-H.jpg" TargetMode="External" Id="rId646" /><Relationship Type="http://schemas.openxmlformats.org/officeDocument/2006/relationships/hyperlink" Target="https://irishfamilysurnames.com/product/oloughlin/" TargetMode="External" Id="rId647" /><Relationship Type="http://schemas.openxmlformats.org/officeDocument/2006/relationships/hyperlink" Target="https://irishfamilysurnames.com/wp-content/uploads/2021/04/o-loughlin-B-H.jpg" TargetMode="External" Id="rId648" /><Relationship Type="http://schemas.openxmlformats.org/officeDocument/2006/relationships/hyperlink" Target="https://irishfamilysurnames.com/product/omahoney/" TargetMode="External" Id="rId649" /><Relationship Type="http://schemas.openxmlformats.org/officeDocument/2006/relationships/hyperlink" Target="https://irishfamilysurnames.com/wp-content/uploads/2021/04/o-mahoney-B-H.jpg" TargetMode="External" Id="rId650" /><Relationship Type="http://schemas.openxmlformats.org/officeDocument/2006/relationships/hyperlink" Target="https://irishfamilysurnames.com/product/omahony/" TargetMode="External" Id="rId651" /><Relationship Type="http://schemas.openxmlformats.org/officeDocument/2006/relationships/hyperlink" Target="https://irishfamilysurnames.com/wp-content/uploads/2021/04/o-mahony-B-H.jpg" TargetMode="External" Id="rId652" /><Relationship Type="http://schemas.openxmlformats.org/officeDocument/2006/relationships/hyperlink" Target="https://irishfamilysurnames.com/product/omalley/" TargetMode="External" Id="rId653" /><Relationship Type="http://schemas.openxmlformats.org/officeDocument/2006/relationships/hyperlink" Target="https://irishfamilysurnames.com/wp-content/uploads/2021/04/o-malley-B-H.jpg" TargetMode="External" Id="rId654" /><Relationship Type="http://schemas.openxmlformats.org/officeDocument/2006/relationships/hyperlink" Target="https://irishfamilysurnames.com/product/omara/" TargetMode="External" Id="rId655" /><Relationship Type="http://schemas.openxmlformats.org/officeDocument/2006/relationships/hyperlink" Target="https://irishfamilysurnames.com/wp-content/uploads/2021/04/o-mara-B-H.jpg" TargetMode="External" Id="rId656" /><Relationship Type="http://schemas.openxmlformats.org/officeDocument/2006/relationships/hyperlink" Target="https://irishfamilysurnames.com/product/omeara/" TargetMode="External" Id="rId657" /><Relationship Type="http://schemas.openxmlformats.org/officeDocument/2006/relationships/hyperlink" Target="https://irishfamilysurnames.com/wp-content/uploads/2021/04/o-meara-B-H.jpg" TargetMode="External" Id="rId658" /><Relationship Type="http://schemas.openxmlformats.org/officeDocument/2006/relationships/hyperlink" Target="https://irishfamilysurnames.com/product/oneal/" TargetMode="External" Id="rId659" /><Relationship Type="http://schemas.openxmlformats.org/officeDocument/2006/relationships/hyperlink" Target="https://irishfamilysurnames.com/wp-content/uploads/2021/04/o-neal-B-H.jpg" TargetMode="External" Id="rId660" /><Relationship Type="http://schemas.openxmlformats.org/officeDocument/2006/relationships/hyperlink" Target="https://irishfamilysurnames.com/product/oneill/" TargetMode="External" Id="rId661" /><Relationship Type="http://schemas.openxmlformats.org/officeDocument/2006/relationships/hyperlink" Target="https://irishfamilysurnames.com/wp-content/uploads/2021/04/o-neill-B-H.jpg" TargetMode="External" Id="rId662" /><Relationship Type="http://schemas.openxmlformats.org/officeDocument/2006/relationships/hyperlink" Target="https://irishfamilysurnames.com/product/oreagan/" TargetMode="External" Id="rId663" /><Relationship Type="http://schemas.openxmlformats.org/officeDocument/2006/relationships/hyperlink" Target="https://irishfamilysurnames.com/wp-content/uploads/2021/04/o-reagan-B-H.jpg" TargetMode="External" Id="rId664" /><Relationship Type="http://schemas.openxmlformats.org/officeDocument/2006/relationships/hyperlink" Target="https://irishfamilysurnames.com/product/oregan/" TargetMode="External" Id="rId665" /><Relationship Type="http://schemas.openxmlformats.org/officeDocument/2006/relationships/hyperlink" Target="https://irishfamilysurnames.com/wp-content/uploads/2021/04/o-regan-B-H.jpg" TargetMode="External" Id="rId666" /><Relationship Type="http://schemas.openxmlformats.org/officeDocument/2006/relationships/hyperlink" Target="https://irishfamilysurnames.com/product/oreilly/" TargetMode="External" Id="rId667" /><Relationship Type="http://schemas.openxmlformats.org/officeDocument/2006/relationships/hyperlink" Target="https://irishfamilysurnames.com/wp-content/uploads/2021/04/o-reilly-B-H.jpg" TargetMode="External" Id="rId668" /><Relationship Type="http://schemas.openxmlformats.org/officeDocument/2006/relationships/hyperlink" Target="https://irishfamilysurnames.com/product/oriordan/" TargetMode="External" Id="rId669" /><Relationship Type="http://schemas.openxmlformats.org/officeDocument/2006/relationships/hyperlink" Target="https://irishfamilysurnames.com/wp-content/uploads/2021/04/o-riordan-B-H.jpg" TargetMode="External" Id="rId670" /><Relationship Type="http://schemas.openxmlformats.org/officeDocument/2006/relationships/hyperlink" Target="https://irishfamilysurnames.com/product/orourke/" TargetMode="External" Id="rId671" /><Relationship Type="http://schemas.openxmlformats.org/officeDocument/2006/relationships/hyperlink" Target="https://irishfamilysurnames.com/wp-content/uploads/2021/04/o-rourke-B-H.jpg" TargetMode="External" Id="rId672" /><Relationship Type="http://schemas.openxmlformats.org/officeDocument/2006/relationships/hyperlink" Target="https://irishfamilysurnames.com/product/oshaughnessy/" TargetMode="External" Id="rId673" /><Relationship Type="http://schemas.openxmlformats.org/officeDocument/2006/relationships/hyperlink" Target="https://irishfamilysurnames.com/wp-content/uploads/2021/04/o-shaughnessy-B-H.jpg" TargetMode="External" Id="rId674" /><Relationship Type="http://schemas.openxmlformats.org/officeDocument/2006/relationships/hyperlink" Target="https://irishfamilysurnames.com/product/oshea/" TargetMode="External" Id="rId675" /><Relationship Type="http://schemas.openxmlformats.org/officeDocument/2006/relationships/hyperlink" Target="https://irishfamilysurnames.com/wp-content/uploads/2021/04/o-shea-B-H.jpg" TargetMode="External" Id="rId676" /><Relationship Type="http://schemas.openxmlformats.org/officeDocument/2006/relationships/hyperlink" Target="https://irishfamilysurnames.com/product/osullivan/" TargetMode="External" Id="rId677" /><Relationship Type="http://schemas.openxmlformats.org/officeDocument/2006/relationships/hyperlink" Target="https://irishfamilysurnames.com/wp-content/uploads/2021/04/o-sullivan-B-H.jpg" TargetMode="External" Id="rId678" /><Relationship Type="http://schemas.openxmlformats.org/officeDocument/2006/relationships/hyperlink" Target="https://irishfamilysurnames.com/product/otoole/" TargetMode="External" Id="rId679" /><Relationship Type="http://schemas.openxmlformats.org/officeDocument/2006/relationships/hyperlink" Target="https://irishfamilysurnames.com/wp-content/uploads/2021/04/o-toole-B-H.jpg" TargetMode="External" Id="rId680" /><Relationship Type="http://schemas.openxmlformats.org/officeDocument/2006/relationships/hyperlink" Target="https://irishfamilysurnames.com/product/phelan/" TargetMode="External" Id="rId681" /><Relationship Type="http://schemas.openxmlformats.org/officeDocument/2006/relationships/hyperlink" Target="https://irishfamilysurnames.com/wp-content/uploads/2021/04/phelan-B-H.jpg" TargetMode="External" Id="rId682" /><Relationship Type="http://schemas.openxmlformats.org/officeDocument/2006/relationships/hyperlink" Target="https://irishfamilysurnames.com/product/power/" TargetMode="External" Id="rId683" /><Relationship Type="http://schemas.openxmlformats.org/officeDocument/2006/relationships/hyperlink" Target="https://irishfamilysurnames.com/wp-content/uploads/2021/04/power-B-H.jpg" TargetMode="External" Id="rId684" /><Relationship Type="http://schemas.openxmlformats.org/officeDocument/2006/relationships/hyperlink" Target="https://irishfamilysurnames.com/product/powers/" TargetMode="External" Id="rId685" /><Relationship Type="http://schemas.openxmlformats.org/officeDocument/2006/relationships/hyperlink" Target="https://irishfamilysurnames.com/wp-content/uploads/2021/04/powers-B-H.jpg" TargetMode="External" Id="rId686" /><Relationship Type="http://schemas.openxmlformats.org/officeDocument/2006/relationships/hyperlink" Target="https://irishfamilysurnames.com/product/quigley/" TargetMode="External" Id="rId687" /><Relationship Type="http://schemas.openxmlformats.org/officeDocument/2006/relationships/hyperlink" Target="https://irishfamilysurnames.com/wp-content/uploads/2021/04/quigley-B-H.jpg" TargetMode="External" Id="rId688" /><Relationship Type="http://schemas.openxmlformats.org/officeDocument/2006/relationships/hyperlink" Target="https://irishfamilysurnames.com/product/quinlan/" TargetMode="External" Id="rId689" /><Relationship Type="http://schemas.openxmlformats.org/officeDocument/2006/relationships/hyperlink" Target="https://irishfamilysurnames.com/wp-content/uploads/2021/04/quinlan-B-H.jpg" TargetMode="External" Id="rId690" /><Relationship Type="http://schemas.openxmlformats.org/officeDocument/2006/relationships/hyperlink" Target="https://irishfamilysurnames.com/product/quinn/" TargetMode="External" Id="rId691" /><Relationship Type="http://schemas.openxmlformats.org/officeDocument/2006/relationships/hyperlink" Target="https://irishfamilysurnames.com/wp-content/uploads/2021/04/quinn-B-H.jpg" TargetMode="External" Id="rId692" /><Relationship Type="http://schemas.openxmlformats.org/officeDocument/2006/relationships/hyperlink" Target="https://irishfamilysurnames.com/product/rafferty/" TargetMode="External" Id="rId693" /><Relationship Type="http://schemas.openxmlformats.org/officeDocument/2006/relationships/hyperlink" Target="https://irishfamilysurnames.com/wp-content/uploads/2021/04/rafferty-B-H.jpg" TargetMode="External" Id="rId694" /><Relationship Type="http://schemas.openxmlformats.org/officeDocument/2006/relationships/hyperlink" Target="https://irishfamilysurnames.com/product/reagan/" TargetMode="External" Id="rId695" /><Relationship Type="http://schemas.openxmlformats.org/officeDocument/2006/relationships/hyperlink" Target="https://irishfamilysurnames.com/wp-content/uploads/2021/04/reagan-B-H.jpg" TargetMode="External" Id="rId696" /><Relationship Type="http://schemas.openxmlformats.org/officeDocument/2006/relationships/hyperlink" Target="https://irishfamilysurnames.com/product/reardon/" TargetMode="External" Id="rId697" /><Relationship Type="http://schemas.openxmlformats.org/officeDocument/2006/relationships/hyperlink" Target="https://irishfamilysurnames.com/wp-content/uploads/2021/04/reardon-B-H.jpg" TargetMode="External" Id="rId698" /><Relationship Type="http://schemas.openxmlformats.org/officeDocument/2006/relationships/hyperlink" Target="https://irishfamilysurnames.com/product/redmond/" TargetMode="External" Id="rId699" /><Relationship Type="http://schemas.openxmlformats.org/officeDocument/2006/relationships/hyperlink" Target="https://irishfamilysurnames.com/wp-content/uploads/2021/04/redmond-B-H.jpg" TargetMode="External" Id="rId700" /><Relationship Type="http://schemas.openxmlformats.org/officeDocument/2006/relationships/hyperlink" Target="https://irishfamilysurnames.com/product/regan/" TargetMode="External" Id="rId701" /><Relationship Type="http://schemas.openxmlformats.org/officeDocument/2006/relationships/hyperlink" Target="https://irishfamilysurnames.com/wp-content/uploads/2021/04/regan-B-H.jpg" TargetMode="External" Id="rId702" /><Relationship Type="http://schemas.openxmlformats.org/officeDocument/2006/relationships/hyperlink" Target="https://irishfamilysurnames.com/product/reid/" TargetMode="External" Id="rId703" /><Relationship Type="http://schemas.openxmlformats.org/officeDocument/2006/relationships/hyperlink" Target="https://irishfamilysurnames.com/wp-content/uploads/2021/04/reid-B-H.jpg" TargetMode="External" Id="rId704" /><Relationship Type="http://schemas.openxmlformats.org/officeDocument/2006/relationships/hyperlink" Target="https://irishfamilysurnames.com/product/reilly/" TargetMode="External" Id="rId705" /><Relationship Type="http://schemas.openxmlformats.org/officeDocument/2006/relationships/hyperlink" Target="https://irishfamilysurnames.com/wp-content/uploads/2021/04/reilly-B-H.jpg" TargetMode="External" Id="rId706" /><Relationship Type="http://schemas.openxmlformats.org/officeDocument/2006/relationships/hyperlink" Target="https://irishfamilysurnames.com/product/reynolds/" TargetMode="External" Id="rId707" /><Relationship Type="http://schemas.openxmlformats.org/officeDocument/2006/relationships/hyperlink" Target="https://irishfamilysurnames.com/wp-content/uploads/2021/04/reynolds-B-H.jpg" TargetMode="External" Id="rId708" /><Relationship Type="http://schemas.openxmlformats.org/officeDocument/2006/relationships/hyperlink" Target="https://irishfamilysurnames.com/product/riley/" TargetMode="External" Id="rId709" /><Relationship Type="http://schemas.openxmlformats.org/officeDocument/2006/relationships/hyperlink" Target="https://irishfamilysurnames.com/wp-content/uploads/2021/04/riley-B-H.jpg" TargetMode="External" Id="rId710" /><Relationship Type="http://schemas.openxmlformats.org/officeDocument/2006/relationships/hyperlink" Target="https://irishfamilysurnames.com/product/riordan/" TargetMode="External" Id="rId711" /><Relationship Type="http://schemas.openxmlformats.org/officeDocument/2006/relationships/hyperlink" Target="https://irishfamilysurnames.com/wp-content/uploads/2021/04/riordan-B-H.jpg" TargetMode="External" Id="rId712" /><Relationship Type="http://schemas.openxmlformats.org/officeDocument/2006/relationships/hyperlink" Target="https://irishfamilysurnames.com/product/roach/" TargetMode="External" Id="rId713" /><Relationship Type="http://schemas.openxmlformats.org/officeDocument/2006/relationships/hyperlink" Target="https://irishfamilysurnames.com/wp-content/uploads/2021/04/roach-B-H.jpg" TargetMode="External" Id="rId714" /><Relationship Type="http://schemas.openxmlformats.org/officeDocument/2006/relationships/hyperlink" Target="https://irishfamilysurnames.com/product/roark/" TargetMode="External" Id="rId715" /><Relationship Type="http://schemas.openxmlformats.org/officeDocument/2006/relationships/hyperlink" Target="https://irishfamilysurnames.com/wp-content/uploads/2021/04/roark-B-H.jpg" TargetMode="External" Id="rId716" /><Relationship Type="http://schemas.openxmlformats.org/officeDocument/2006/relationships/hyperlink" Target="https://irishfamilysurnames.com/product/roche/" TargetMode="External" Id="rId717" /><Relationship Type="http://schemas.openxmlformats.org/officeDocument/2006/relationships/hyperlink" Target="https://irishfamilysurnames.com/wp-content/uploads/2021/04/roche-B-H.jpg" TargetMode="External" Id="rId718" /><Relationship Type="http://schemas.openxmlformats.org/officeDocument/2006/relationships/hyperlink" Target="https://irishfamilysurnames.com/product/rooney/" TargetMode="External" Id="rId719" /><Relationship Type="http://schemas.openxmlformats.org/officeDocument/2006/relationships/hyperlink" Target="https://irishfamilysurnames.com/wp-content/uploads/2021/04/rooney-B-H.jpg" TargetMode="External" Id="rId720" /><Relationship Type="http://schemas.openxmlformats.org/officeDocument/2006/relationships/hyperlink" Target="https://irishfamilysurnames.com/product/rourke/" TargetMode="External" Id="rId721" /><Relationship Type="http://schemas.openxmlformats.org/officeDocument/2006/relationships/hyperlink" Target="https://irishfamilysurnames.com/wp-content/uploads/2021/04/rourke-B-H.jpg" TargetMode="External" Id="rId722" /><Relationship Type="http://schemas.openxmlformats.org/officeDocument/2006/relationships/hyperlink" Target="https://irishfamilysurnames.com/product/russell/" TargetMode="External" Id="rId723" /><Relationship Type="http://schemas.openxmlformats.org/officeDocument/2006/relationships/hyperlink" Target="https://irishfamilysurnames.com/wp-content/uploads/2021/04/russell-B-H.jpg" TargetMode="External" Id="rId724" /><Relationship Type="http://schemas.openxmlformats.org/officeDocument/2006/relationships/hyperlink" Target="https://irishfamilysurnames.com/product/ryan/" TargetMode="External" Id="rId725" /><Relationship Type="http://schemas.openxmlformats.org/officeDocument/2006/relationships/hyperlink" Target="https://irishfamilysurnames.com/wp-content/uploads/2021/04/ryan-B-H.jpg" TargetMode="External" Id="rId726" /><Relationship Type="http://schemas.openxmlformats.org/officeDocument/2006/relationships/hyperlink" Target="https://irishfamilysurnames.com/product/scott/" TargetMode="External" Id="rId727" /><Relationship Type="http://schemas.openxmlformats.org/officeDocument/2006/relationships/hyperlink" Target="https://irishfamilysurnames.com/wp-content/uploads/2021/04/scott-B-H.jpg" TargetMode="External" Id="rId728" /><Relationship Type="http://schemas.openxmlformats.org/officeDocument/2006/relationships/hyperlink" Target="https://irishfamilysurnames.com/product/scully/" TargetMode="External" Id="rId729" /><Relationship Type="http://schemas.openxmlformats.org/officeDocument/2006/relationships/hyperlink" Target="https://irishfamilysurnames.com/wp-content/uploads/2021/04/scully-B-H.jpg" TargetMode="External" Id="rId730" /><Relationship Type="http://schemas.openxmlformats.org/officeDocument/2006/relationships/hyperlink" Target="https://irishfamilysurnames.com/product/shanahan/" TargetMode="External" Id="rId731" /><Relationship Type="http://schemas.openxmlformats.org/officeDocument/2006/relationships/hyperlink" Target="https://irishfamilysurnames.com/wp-content/uploads/2021/04/shanahan-B-H.jpg" TargetMode="External" Id="rId732" /><Relationship Type="http://schemas.openxmlformats.org/officeDocument/2006/relationships/hyperlink" Target="https://irishfamilysurnames.com/product/shannon/" TargetMode="External" Id="rId733" /><Relationship Type="http://schemas.openxmlformats.org/officeDocument/2006/relationships/hyperlink" Target="https://irishfamilysurnames.com/wp-content/uploads/2021/04/shannon-B-H.jpg" TargetMode="External" Id="rId734" /><Relationship Type="http://schemas.openxmlformats.org/officeDocument/2006/relationships/hyperlink" Target="https://irishfamilysurnames.com/product/shaughnessy/" TargetMode="External" Id="rId735" /><Relationship Type="http://schemas.openxmlformats.org/officeDocument/2006/relationships/hyperlink" Target="https://irishfamilysurnames.com/wp-content/uploads/2021/04/shaughnessy-B-H.jpg" TargetMode="External" Id="rId736" /><Relationship Type="http://schemas.openxmlformats.org/officeDocument/2006/relationships/hyperlink" Target="https://irishfamilysurnames.com/product/shea/" TargetMode="External" Id="rId737" /><Relationship Type="http://schemas.openxmlformats.org/officeDocument/2006/relationships/hyperlink" Target="https://irishfamilysurnames.com/wp-content/uploads/2021/04/shea-B-H.jpg" TargetMode="External" Id="rId738" /><Relationship Type="http://schemas.openxmlformats.org/officeDocument/2006/relationships/hyperlink" Target="https://irishfamilysurnames.com/product/sheehan/" TargetMode="External" Id="rId739" /><Relationship Type="http://schemas.openxmlformats.org/officeDocument/2006/relationships/hyperlink" Target="https://irishfamilysurnames.com/wp-content/uploads/2021/04/sheehan-B-H.jpg" TargetMode="External" Id="rId740" /><Relationship Type="http://schemas.openxmlformats.org/officeDocument/2006/relationships/hyperlink" Target="https://irishfamilysurnames.com/product/sheehy/" TargetMode="External" Id="rId741" /><Relationship Type="http://schemas.openxmlformats.org/officeDocument/2006/relationships/hyperlink" Target="https://irishfamilysurnames.com/wp-content/uploads/2021/04/sheehy-B-H.jpg" TargetMode="External" Id="rId742" /><Relationship Type="http://schemas.openxmlformats.org/officeDocument/2006/relationships/hyperlink" Target="https://irishfamilysurnames.com/product/sheridan/" TargetMode="External" Id="rId743" /><Relationship Type="http://schemas.openxmlformats.org/officeDocument/2006/relationships/hyperlink" Target="https://irishfamilysurnames.com/wp-content/uploads/2021/04/SHERIDAN-B-H-1.jpg" TargetMode="External" Id="rId744" /><Relationship Type="http://schemas.openxmlformats.org/officeDocument/2006/relationships/hyperlink" Target="https://irishfamilysurnames.com/product/slattery/" TargetMode="External" Id="rId745" /><Relationship Type="http://schemas.openxmlformats.org/officeDocument/2006/relationships/hyperlink" Target="https://irishfamilysurnames.com/wp-content/uploads/2021/04/slattery-B-H.jpg" TargetMode="External" Id="rId746" /><Relationship Type="http://schemas.openxmlformats.org/officeDocument/2006/relationships/hyperlink" Target="https://irishfamilysurnames.com/product/smith/" TargetMode="External" Id="rId747" /><Relationship Type="http://schemas.openxmlformats.org/officeDocument/2006/relationships/hyperlink" Target="https://irishfamilysurnames.com/wp-content/uploads/2021/04/smith-B-H.jpg" TargetMode="External" Id="rId748" /><Relationship Type="http://schemas.openxmlformats.org/officeDocument/2006/relationships/hyperlink" Target="https://irishfamilysurnames.com/product/smyth/" TargetMode="External" Id="rId749" /><Relationship Type="http://schemas.openxmlformats.org/officeDocument/2006/relationships/hyperlink" Target="https://irishfamilysurnames.com/wp-content/uploads/2021/04/smyth-B-H.jpg" TargetMode="External" Id="rId750" /><Relationship Type="http://schemas.openxmlformats.org/officeDocument/2006/relationships/hyperlink" Target="https://irishfamilysurnames.com/product/stapleton/" TargetMode="External" Id="rId751" /><Relationship Type="http://schemas.openxmlformats.org/officeDocument/2006/relationships/hyperlink" Target="https://irishfamilysurnames.com/wp-content/uploads/2021/04/stapleton-B-H.jpg" TargetMode="External" Id="rId752" /><Relationship Type="http://schemas.openxmlformats.org/officeDocument/2006/relationships/hyperlink" Target="https://irishfamilysurnames.com/product/stewart/" TargetMode="External" Id="rId753" /><Relationship Type="http://schemas.openxmlformats.org/officeDocument/2006/relationships/hyperlink" Target="https://irishfamilysurnames.com/wp-content/uploads/2021/04/stewart-B-H.jpg" TargetMode="External" Id="rId754" /><Relationship Type="http://schemas.openxmlformats.org/officeDocument/2006/relationships/hyperlink" Target="https://irishfamilysurnames.com/product/sullivan/" TargetMode="External" Id="rId755" /><Relationship Type="http://schemas.openxmlformats.org/officeDocument/2006/relationships/hyperlink" Target="https://irishfamilysurnames.com/wp-content/uploads/2021/04/sullivan-B-H.jpg" TargetMode="External" Id="rId756" /><Relationship Type="http://schemas.openxmlformats.org/officeDocument/2006/relationships/hyperlink" Target="https://irishfamilysurnames.com/product/sweeney/" TargetMode="External" Id="rId757" /><Relationship Type="http://schemas.openxmlformats.org/officeDocument/2006/relationships/hyperlink" Target="https://irishfamilysurnames.com/wp-content/uploads/2021/04/sweeney-B-H.jpg" TargetMode="External" Id="rId758" /><Relationship Type="http://schemas.openxmlformats.org/officeDocument/2006/relationships/hyperlink" Target="https://irishfamilysurnames.com/product/taylor/" TargetMode="External" Id="rId759" /><Relationship Type="http://schemas.openxmlformats.org/officeDocument/2006/relationships/hyperlink" Target="https://irishfamilysurnames.com/wp-content/uploads/2021/04/d-arcy-B-H.jpg" TargetMode="External" Id="rId760" /><Relationship Type="http://schemas.openxmlformats.org/officeDocument/2006/relationships/hyperlink" Target="https://irishfamilysurnames.com/product/taylor-2/" TargetMode="External" Id="rId761" /><Relationship Type="http://schemas.openxmlformats.org/officeDocument/2006/relationships/hyperlink" Target="https://irishfamilysurnames.com/wp-content/uploads/2021/04/taylor-B-H.jpg" TargetMode="External" Id="rId762" /><Relationship Type="http://schemas.openxmlformats.org/officeDocument/2006/relationships/hyperlink" Target="https://irishfamilysurnames.com/product/thompson/" TargetMode="External" Id="rId763" /><Relationship Type="http://schemas.openxmlformats.org/officeDocument/2006/relationships/hyperlink" Target="https://irishfamilysurnames.com/wp-content/uploads/2021/04/thompson-B-H.jpg" TargetMode="External" Id="rId764" /><Relationship Type="http://schemas.openxmlformats.org/officeDocument/2006/relationships/hyperlink" Target="https://irishfamilysurnames.com/product/tierney/" TargetMode="External" Id="rId765" /><Relationship Type="http://schemas.openxmlformats.org/officeDocument/2006/relationships/hyperlink" Target="https://irishfamilysurnames.com/wp-content/uploads/2021/04/tierney-B-H.jpg" TargetMode="External" Id="rId766" /><Relationship Type="http://schemas.openxmlformats.org/officeDocument/2006/relationships/hyperlink" Target="https://irishfamilysurnames.com/product/tobin/" TargetMode="External" Id="rId767" /><Relationship Type="http://schemas.openxmlformats.org/officeDocument/2006/relationships/hyperlink" Target="https://irishfamilysurnames.com/wp-content/uploads/2021/04/tobin-B-H.jpg" TargetMode="External" Id="rId768" /><Relationship Type="http://schemas.openxmlformats.org/officeDocument/2006/relationships/hyperlink" Target="https://irishfamilysurnames.com/product/toole/" TargetMode="External" Id="rId769" /><Relationship Type="http://schemas.openxmlformats.org/officeDocument/2006/relationships/hyperlink" Target="https://irishfamilysurnames.com/wp-content/uploads/2021/04/toole-B-H.jpg" TargetMode="External" Id="rId770" /><Relationship Type="http://schemas.openxmlformats.org/officeDocument/2006/relationships/hyperlink" Target="https://irishfamilysurnames.com/product/tracy/" TargetMode="External" Id="rId771" /><Relationship Type="http://schemas.openxmlformats.org/officeDocument/2006/relationships/hyperlink" Target="https://irishfamilysurnames.com/wp-content/uploads/2021/04/tracy-B-H.jpg" TargetMode="External" Id="rId772" /><Relationship Type="http://schemas.openxmlformats.org/officeDocument/2006/relationships/hyperlink" Target="https://irishfamilysurnames.com/product/treacy/" TargetMode="External" Id="rId773" /><Relationship Type="http://schemas.openxmlformats.org/officeDocument/2006/relationships/hyperlink" Target="https://irishfamilysurnames.com/wp-content/uploads/2021/04/treacy-B-H.jpg" TargetMode="External" Id="rId774" /><Relationship Type="http://schemas.openxmlformats.org/officeDocument/2006/relationships/hyperlink" Target="https://irishfamilysurnames.com/product/walker/" TargetMode="External" Id="rId775" /><Relationship Type="http://schemas.openxmlformats.org/officeDocument/2006/relationships/hyperlink" Target="https://irishfamilysurnames.com/wp-content/uploads/2021/04/walker-B-H.jpg" TargetMode="External" Id="rId776" /><Relationship Type="http://schemas.openxmlformats.org/officeDocument/2006/relationships/hyperlink" Target="https://irishfamilysurnames.com/product/wall/" TargetMode="External" Id="rId777" /><Relationship Type="http://schemas.openxmlformats.org/officeDocument/2006/relationships/hyperlink" Target="https://irishfamilysurnames.com/wp-content/uploads/2021/04/wall-B-H.jpg" TargetMode="External" Id="rId778" /><Relationship Type="http://schemas.openxmlformats.org/officeDocument/2006/relationships/hyperlink" Target="https://irishfamilysurnames.com/product/walsh/" TargetMode="External" Id="rId779" /><Relationship Type="http://schemas.openxmlformats.org/officeDocument/2006/relationships/hyperlink" Target="https://irishfamilysurnames.com/wp-content/uploads/2021/04/walsh-B-H.jpg" TargetMode="External" Id="rId780" /><Relationship Type="http://schemas.openxmlformats.org/officeDocument/2006/relationships/hyperlink" Target="https://irishfamilysurnames.com/product/walshe/" TargetMode="External" Id="rId781" /><Relationship Type="http://schemas.openxmlformats.org/officeDocument/2006/relationships/hyperlink" Target="https://irishfamilysurnames.com/wp-content/uploads/2021/04/walshe-B-H.jpg" TargetMode="External" Id="rId782" /><Relationship Type="http://schemas.openxmlformats.org/officeDocument/2006/relationships/hyperlink" Target="https://irishfamilysurnames.com/product/ward/" TargetMode="External" Id="rId783" /><Relationship Type="http://schemas.openxmlformats.org/officeDocument/2006/relationships/hyperlink" Target="https://irishfamilysurnames.com/wp-content/uploads/2021/04/ward-B-H.jpg" TargetMode="External" Id="rId784" /><Relationship Type="http://schemas.openxmlformats.org/officeDocument/2006/relationships/hyperlink" Target="https://irishfamilysurnames.com/product/welsh/" TargetMode="External" Id="rId785" /><Relationship Type="http://schemas.openxmlformats.org/officeDocument/2006/relationships/hyperlink" Target="https://irishfamilysurnames.com/wp-content/uploads/2021/04/welsh-B-H.jpg" TargetMode="External" Id="rId786" /><Relationship Type="http://schemas.openxmlformats.org/officeDocument/2006/relationships/hyperlink" Target="https://irishfamilysurnames.com/product/whalen/" TargetMode="External" Id="rId787" /><Relationship Type="http://schemas.openxmlformats.org/officeDocument/2006/relationships/hyperlink" Target="https://irishfamilysurnames.com/wp-content/uploads/2021/04/whalen-B-H.jpg" TargetMode="External" Id="rId788" /><Relationship Type="http://schemas.openxmlformats.org/officeDocument/2006/relationships/hyperlink" Target="https://irishfamilysurnames.com/product/whelan/" TargetMode="External" Id="rId789" /><Relationship Type="http://schemas.openxmlformats.org/officeDocument/2006/relationships/hyperlink" Target="https://irishfamilysurnames.com/wp-content/uploads/2021/04/whelan-B-H.jpg" TargetMode="External" Id="rId790" /><Relationship Type="http://schemas.openxmlformats.org/officeDocument/2006/relationships/hyperlink" Target="https://irishfamilysurnames.com/product/white/" TargetMode="External" Id="rId791" /><Relationship Type="http://schemas.openxmlformats.org/officeDocument/2006/relationships/hyperlink" Target="https://irishfamilysurnames.com/wp-content/uploads/2021/04/white-B-H.jpg" TargetMode="External" Id="rId792" /><Relationship Type="http://schemas.openxmlformats.org/officeDocument/2006/relationships/hyperlink" Target="https://irishfamilysurnames.com/product/williams/" TargetMode="External" Id="rId793" /><Relationship Type="http://schemas.openxmlformats.org/officeDocument/2006/relationships/hyperlink" Target="https://irishfamilysurnames.com/wp-content/uploads/2021/04/williams-B-H.jpg" TargetMode="External" Id="rId794" /><Relationship Type="http://schemas.openxmlformats.org/officeDocument/2006/relationships/hyperlink" Target="https://irishfamilysurnames.com/product/wilson/" TargetMode="External" Id="rId795" /><Relationship Type="http://schemas.openxmlformats.org/officeDocument/2006/relationships/hyperlink" Target="https://irishfamilysurnames.com/wp-content/uploads/2021/04/wilson-B-H.jpg" TargetMode="External" Id="rId796" /><Relationship Type="http://schemas.openxmlformats.org/officeDocument/2006/relationships/hyperlink" Target="https://irishfamilysurnames.com/product/woods/" TargetMode="External" Id="rId797" /><Relationship Type="http://schemas.openxmlformats.org/officeDocument/2006/relationships/hyperlink" Target="https://irishfamilysurnames.com/wp-content/uploads/2021/04/woods-B-H.jpg" TargetMode="External" Id="rId798" /><Relationship Type="http://schemas.openxmlformats.org/officeDocument/2006/relationships/hyperlink" Target="https://irishfamilysurnames.com/product/young/" TargetMode="External" Id="rId799" /><Relationship Type="http://schemas.openxmlformats.org/officeDocument/2006/relationships/hyperlink" Target="https://irishfamilysurnames.com/wp-content/uploads/2021/04/young-B-H.jpg" TargetMode="External" Id="rId8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Irish Family Surnames — Google Sheets</t>
        </is>
      </c>
    </row>
    <row r="3">
      <c r="A3" t="inlineStr">
        <is>
          <t>1. Go to https://sheets.google.com → Blank spreadsheet</t>
        </is>
      </c>
    </row>
    <row r="4">
      <c r="A4" t="inlineStr">
        <is>
          <t>2. File → Import → Upload → select this .xlsx file</t>
        </is>
      </c>
    </row>
    <row r="5">
      <c r="A5" t="inlineStr">
        <is>
          <t>3. Import location: Replace spreadsheet → Import data</t>
        </is>
      </c>
    </row>
    <row r="6">
      <c r="A6" t="inlineStr">
        <is>
          <t>4. Open the Surnames tab — Image Preview uses =IMAGE() and shows crest thumbnails</t>
        </is>
      </c>
    </row>
    <row r="7">
      <c r="A7" t="inlineStr">
        <is>
          <t>5. Optional: Format → Alternating colors; set row height ~75 for previews</t>
        </is>
      </c>
    </row>
    <row r="9">
      <c r="A9" t="inlineStr">
        <is>
          <t>Total surnames: 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8" customWidth="1" min="3" max="3"/>
    <col width="18" customWidth="1" min="4" max="4"/>
    <col width="55" customWidth="1" min="5" max="5"/>
  </cols>
  <sheetData>
    <row r="1" ht="22" customHeight="1">
      <c r="A1" s="2" t="inlineStr">
        <is>
          <t>Surname</t>
        </is>
      </c>
      <c r="B1" s="2" t="inlineStr">
        <is>
          <t>Slug</t>
        </is>
      </c>
      <c r="C1" s="2" t="inlineStr">
        <is>
          <t>Product URL</t>
        </is>
      </c>
      <c r="D1" s="2" t="inlineStr">
        <is>
          <t>Image Preview</t>
        </is>
      </c>
      <c r="E1" s="2" t="inlineStr">
        <is>
          <t>Image URL</t>
        </is>
      </c>
    </row>
    <row r="2" ht="75" customHeight="1">
      <c r="A2" s="3" t="inlineStr">
        <is>
          <t>Ahern</t>
        </is>
      </c>
      <c r="B2" s="3" t="inlineStr">
        <is>
          <t>ahern</t>
        </is>
      </c>
      <c r="C2" s="4" t="inlineStr">
        <is>
          <t>https://irishfamilysurnames.com/product/ahern/</t>
        </is>
      </c>
      <c r="D2" s="3">
        <f>IMAGE("https://irishfamilysurnames.com/wp-content/uploads/2021/04/ahern-B-H.jpg")</f>
        <v/>
      </c>
      <c r="E2" s="4" t="inlineStr">
        <is>
          <t>https://irishfamilysurnames.com/wp-content/uploads/2021/04/ahern-B-H.jpg</t>
        </is>
      </c>
    </row>
    <row r="3" ht="75" customHeight="1">
      <c r="A3" s="3" t="inlineStr">
        <is>
          <t>Aherne</t>
        </is>
      </c>
      <c r="B3" s="3" t="inlineStr">
        <is>
          <t>aherne</t>
        </is>
      </c>
      <c r="C3" s="4" t="inlineStr">
        <is>
          <t>https://irishfamilysurnames.com/product/aherne/</t>
        </is>
      </c>
      <c r="D3" s="3">
        <f>IMAGE("https://irishfamilysurnames.com/wp-content/uploads/2021/04/aherne-B-H.jpg")</f>
        <v/>
      </c>
      <c r="E3" s="4" t="inlineStr">
        <is>
          <t>https://irishfamilysurnames.com/wp-content/uploads/2021/04/aherne-B-H.jpg</t>
        </is>
      </c>
    </row>
    <row r="4" ht="75" customHeight="1">
      <c r="A4" s="3" t="inlineStr">
        <is>
          <t>Allen</t>
        </is>
      </c>
      <c r="B4" s="3" t="inlineStr">
        <is>
          <t>allen</t>
        </is>
      </c>
      <c r="C4" s="4" t="inlineStr">
        <is>
          <t>https://irishfamilysurnames.com/product/allen/</t>
        </is>
      </c>
      <c r="D4" s="3">
        <f>IMAGE("https://irishfamilysurnames.com/wp-content/uploads/2021/04/allen-B-H.jpg")</f>
        <v/>
      </c>
      <c r="E4" s="4" t="inlineStr">
        <is>
          <t>https://irishfamilysurnames.com/wp-content/uploads/2021/04/allen-B-H.jpg</t>
        </is>
      </c>
    </row>
    <row r="5" ht="75" customHeight="1">
      <c r="A5" s="3" t="inlineStr">
        <is>
          <t>Barrett</t>
        </is>
      </c>
      <c r="B5" s="3" t="inlineStr">
        <is>
          <t>barrett</t>
        </is>
      </c>
      <c r="C5" s="4" t="inlineStr">
        <is>
          <t>https://irishfamilysurnames.com/product/barrett/</t>
        </is>
      </c>
      <c r="D5" s="3">
        <f>IMAGE("https://irishfamilysurnames.com/wp-content/uploads/2021/04/barrett-B-H.jpg")</f>
        <v/>
      </c>
      <c r="E5" s="4" t="inlineStr">
        <is>
          <t>https://irishfamilysurnames.com/wp-content/uploads/2021/04/barrett-B-H.jpg</t>
        </is>
      </c>
    </row>
    <row r="6" ht="75" customHeight="1">
      <c r="A6" s="3" t="inlineStr">
        <is>
          <t>Barry</t>
        </is>
      </c>
      <c r="B6" s="3" t="inlineStr">
        <is>
          <t>barry</t>
        </is>
      </c>
      <c r="C6" s="4" t="inlineStr">
        <is>
          <t>https://irishfamilysurnames.com/product/barry/</t>
        </is>
      </c>
      <c r="D6" s="3">
        <f>IMAGE("https://irishfamilysurnames.com/wp-content/uploads/2021/04/barry-B-H.jpg")</f>
        <v/>
      </c>
      <c r="E6" s="4" t="inlineStr">
        <is>
          <t>https://irishfamilysurnames.com/wp-content/uploads/2021/04/barry-B-H.jpg</t>
        </is>
      </c>
    </row>
    <row r="7" ht="75" customHeight="1">
      <c r="A7" s="3" t="inlineStr">
        <is>
          <t>Behan</t>
        </is>
      </c>
      <c r="B7" s="3" t="inlineStr">
        <is>
          <t>behan</t>
        </is>
      </c>
      <c r="C7" s="4" t="inlineStr">
        <is>
          <t>https://irishfamilysurnames.com/product/behan/</t>
        </is>
      </c>
      <c r="D7" s="3">
        <f>IMAGE("https://irishfamilysurnames.com/wp-content/uploads/2021/04/behan-B-H.jpg")</f>
        <v/>
      </c>
      <c r="E7" s="4" t="inlineStr">
        <is>
          <t>https://irishfamilysurnames.com/wp-content/uploads/2021/04/behan-B-H.jpg</t>
        </is>
      </c>
    </row>
    <row r="8" ht="75" customHeight="1">
      <c r="A8" s="3" t="inlineStr">
        <is>
          <t>Bell</t>
        </is>
      </c>
      <c r="B8" s="3" t="inlineStr">
        <is>
          <t>bell</t>
        </is>
      </c>
      <c r="C8" s="4" t="inlineStr">
        <is>
          <t>https://irishfamilysurnames.com/product/bell/</t>
        </is>
      </c>
      <c r="D8" s="3">
        <f>IMAGE("https://irishfamilysurnames.com/wp-content/uploads/2021/04/bell-B-H.jpg")</f>
        <v/>
      </c>
      <c r="E8" s="4" t="inlineStr">
        <is>
          <t>https://irishfamilysurnames.com/wp-content/uploads/2021/04/bell-B-H.jpg</t>
        </is>
      </c>
    </row>
    <row r="9" ht="75" customHeight="1">
      <c r="A9" s="3" t="inlineStr">
        <is>
          <t>Blake</t>
        </is>
      </c>
      <c r="B9" s="3" t="inlineStr">
        <is>
          <t>blake</t>
        </is>
      </c>
      <c r="C9" s="4" t="inlineStr">
        <is>
          <t>https://irishfamilysurnames.com/product/blake/</t>
        </is>
      </c>
      <c r="D9" s="3">
        <f>IMAGE("https://irishfamilysurnames.com/wp-content/uploads/2021/04/blake-B-H.jpg")</f>
        <v/>
      </c>
      <c r="E9" s="4" t="inlineStr">
        <is>
          <t>https://irishfamilysurnames.com/wp-content/uploads/2021/04/blake-B-H.jpg</t>
        </is>
      </c>
    </row>
    <row r="10" ht="75" customHeight="1">
      <c r="A10" s="3" t="inlineStr">
        <is>
          <t>Boland</t>
        </is>
      </c>
      <c r="B10" s="3" t="inlineStr">
        <is>
          <t>boland</t>
        </is>
      </c>
      <c r="C10" s="4" t="inlineStr">
        <is>
          <t>https://irishfamilysurnames.com/product/boland/</t>
        </is>
      </c>
      <c r="D10" s="3">
        <f>IMAGE("https://irishfamilysurnames.com/wp-content/uploads/2021/04/boland-B-H.jpg")</f>
        <v/>
      </c>
      <c r="E10" s="4" t="inlineStr">
        <is>
          <t>https://irishfamilysurnames.com/wp-content/uploads/2021/04/boland-B-H.jpg</t>
        </is>
      </c>
    </row>
    <row r="11" ht="75" customHeight="1">
      <c r="A11" s="3" t="inlineStr">
        <is>
          <t>Bolger</t>
        </is>
      </c>
      <c r="B11" s="3" t="inlineStr">
        <is>
          <t>bolger</t>
        </is>
      </c>
      <c r="C11" s="4" t="inlineStr">
        <is>
          <t>https://irishfamilysurnames.com/product/bolger/</t>
        </is>
      </c>
      <c r="D11" s="3">
        <f>IMAGE("https://irishfamilysurnames.com/wp-content/uploads/2021/04/bolger-B-H.jpg")</f>
        <v/>
      </c>
      <c r="E11" s="4" t="inlineStr">
        <is>
          <t>https://irishfamilysurnames.com/wp-content/uploads/2021/04/bolger-B-H.jpg</t>
        </is>
      </c>
    </row>
    <row r="12" ht="75" customHeight="1">
      <c r="A12" s="3" t="inlineStr">
        <is>
          <t>Bourke</t>
        </is>
      </c>
      <c r="B12" s="3" t="inlineStr">
        <is>
          <t>bourke</t>
        </is>
      </c>
      <c r="C12" s="4" t="inlineStr">
        <is>
          <t>https://irishfamilysurnames.com/product/bourke/</t>
        </is>
      </c>
      <c r="D12" s="3">
        <f>IMAGE("https://irishfamilysurnames.com/wp-content/uploads/2021/04/bourke-B-H.jpg")</f>
        <v/>
      </c>
      <c r="E12" s="4" t="inlineStr">
        <is>
          <t>https://irishfamilysurnames.com/wp-content/uploads/2021/04/bourke-B-H.jpg</t>
        </is>
      </c>
    </row>
    <row r="13" ht="75" customHeight="1">
      <c r="A13" s="3" t="inlineStr">
        <is>
          <t>Boylan</t>
        </is>
      </c>
      <c r="B13" s="3" t="inlineStr">
        <is>
          <t>boylan</t>
        </is>
      </c>
      <c r="C13" s="4" t="inlineStr">
        <is>
          <t>https://irishfamilysurnames.com/product/boylan/</t>
        </is>
      </c>
      <c r="D13" s="3">
        <f>IMAGE("https://irishfamilysurnames.com/wp-content/uploads/2021/04/boylan-B-H.jpg")</f>
        <v/>
      </c>
      <c r="E13" s="4" t="inlineStr">
        <is>
          <t>https://irishfamilysurnames.com/wp-content/uploads/2021/04/boylan-B-H.jpg</t>
        </is>
      </c>
    </row>
    <row r="14" ht="75" customHeight="1">
      <c r="A14" s="3" t="inlineStr">
        <is>
          <t>Boyle</t>
        </is>
      </c>
      <c r="B14" s="3" t="inlineStr">
        <is>
          <t>boyle</t>
        </is>
      </c>
      <c r="C14" s="4" t="inlineStr">
        <is>
          <t>https://irishfamilysurnames.com/product/boyle/</t>
        </is>
      </c>
      <c r="D14" s="3">
        <f>IMAGE("https://irishfamilysurnames.com/wp-content/uploads/2021/04/boyle-B-H.jpg")</f>
        <v/>
      </c>
      <c r="E14" s="4" t="inlineStr">
        <is>
          <t>https://irishfamilysurnames.com/wp-content/uploads/2021/04/boyle-B-H.jpg</t>
        </is>
      </c>
    </row>
    <row r="15" ht="75" customHeight="1">
      <c r="A15" s="3" t="inlineStr">
        <is>
          <t>Bradley</t>
        </is>
      </c>
      <c r="B15" s="3" t="inlineStr">
        <is>
          <t>bradley</t>
        </is>
      </c>
      <c r="C15" s="4" t="inlineStr">
        <is>
          <t>https://irishfamilysurnames.com/product/bradley/</t>
        </is>
      </c>
      <c r="D15" s="3">
        <f>IMAGE("https://irishfamilysurnames.com/wp-content/uploads/2021/04/bradley-B-H.jpg")</f>
        <v/>
      </c>
      <c r="E15" s="4" t="inlineStr">
        <is>
          <t>https://irishfamilysurnames.com/wp-content/uploads/2021/04/bradley-B-H.jpg</t>
        </is>
      </c>
    </row>
    <row r="16" ht="75" customHeight="1">
      <c r="A16" s="3" t="inlineStr">
        <is>
          <t>Brady</t>
        </is>
      </c>
      <c r="B16" s="3" t="inlineStr">
        <is>
          <t>brady</t>
        </is>
      </c>
      <c r="C16" s="4" t="inlineStr">
        <is>
          <t>https://irishfamilysurnames.com/product/brady/</t>
        </is>
      </c>
      <c r="D16" s="3">
        <f>IMAGE("https://irishfamilysurnames.com/wp-content/uploads/2021/04/brady-B-H.jpg")</f>
        <v/>
      </c>
      <c r="E16" s="4" t="inlineStr">
        <is>
          <t>https://irishfamilysurnames.com/wp-content/uploads/2021/04/brady-B-H.jpg</t>
        </is>
      </c>
    </row>
    <row r="17" ht="75" customHeight="1">
      <c r="A17" s="3" t="inlineStr">
        <is>
          <t>Brennan</t>
        </is>
      </c>
      <c r="B17" s="3" t="inlineStr">
        <is>
          <t>brennan</t>
        </is>
      </c>
      <c r="C17" s="4" t="inlineStr">
        <is>
          <t>https://irishfamilysurnames.com/product/brennan/</t>
        </is>
      </c>
      <c r="D17" s="3">
        <f>IMAGE("https://irishfamilysurnames.com/wp-content/uploads/2021/04/brennan-B-H.jpg")</f>
        <v/>
      </c>
      <c r="E17" s="4" t="inlineStr">
        <is>
          <t>https://irishfamilysurnames.com/wp-content/uploads/2021/04/brennan-B-H.jpg</t>
        </is>
      </c>
    </row>
    <row r="18" ht="75" customHeight="1">
      <c r="A18" s="3" t="inlineStr">
        <is>
          <t>Brien</t>
        </is>
      </c>
      <c r="B18" s="3" t="inlineStr">
        <is>
          <t>brien</t>
        </is>
      </c>
      <c r="C18" s="4" t="inlineStr">
        <is>
          <t>https://irishfamilysurnames.com/product/brien/</t>
        </is>
      </c>
      <c r="D18" s="3">
        <f>IMAGE("https://irishfamilysurnames.com/wp-content/uploads/2021/04/brien-B-H.jpg")</f>
        <v/>
      </c>
      <c r="E18" s="4" t="inlineStr">
        <is>
          <t>https://irishfamilysurnames.com/wp-content/uploads/2021/04/brien-B-H.jpg</t>
        </is>
      </c>
    </row>
    <row r="19" ht="75" customHeight="1">
      <c r="A19" s="3" t="inlineStr">
        <is>
          <t>Brophy</t>
        </is>
      </c>
      <c r="B19" s="3" t="inlineStr">
        <is>
          <t>brophy</t>
        </is>
      </c>
      <c r="C19" s="4" t="inlineStr">
        <is>
          <t>https://irishfamilysurnames.com/product/brophy/</t>
        </is>
      </c>
      <c r="D19" s="3">
        <f>IMAGE("https://irishfamilysurnames.com/wp-content/uploads/2021/04/brophy-B-H.jpg")</f>
        <v/>
      </c>
      <c r="E19" s="4" t="inlineStr">
        <is>
          <t>https://irishfamilysurnames.com/wp-content/uploads/2021/04/brophy-B-H.jpg</t>
        </is>
      </c>
    </row>
    <row r="20" ht="75" customHeight="1">
      <c r="A20" s="3" t="inlineStr">
        <is>
          <t>Brown</t>
        </is>
      </c>
      <c r="B20" s="3" t="inlineStr">
        <is>
          <t>brown</t>
        </is>
      </c>
      <c r="C20" s="4" t="inlineStr">
        <is>
          <t>https://irishfamilysurnames.com/product/brown/</t>
        </is>
      </c>
      <c r="D20" s="3">
        <f>IMAGE("https://irishfamilysurnames.com/wp-content/uploads/2021/04/brown-B-H.jpg")</f>
        <v/>
      </c>
      <c r="E20" s="4" t="inlineStr">
        <is>
          <t>https://irishfamilysurnames.com/wp-content/uploads/2021/04/brown-B-H.jpg</t>
        </is>
      </c>
    </row>
    <row r="21" ht="75" customHeight="1">
      <c r="A21" s="3" t="inlineStr">
        <is>
          <t>Browne</t>
        </is>
      </c>
      <c r="B21" s="3" t="inlineStr">
        <is>
          <t>browne</t>
        </is>
      </c>
      <c r="C21" s="4" t="inlineStr">
        <is>
          <t>https://irishfamilysurnames.com/product/browne/</t>
        </is>
      </c>
      <c r="D21" s="3">
        <f>IMAGE("https://irishfamilysurnames.com/wp-content/uploads/2021/04/browne-B-H.jpg")</f>
        <v/>
      </c>
      <c r="E21" s="4" t="inlineStr">
        <is>
          <t>https://irishfamilysurnames.com/wp-content/uploads/2021/04/browne-B-H.jpg</t>
        </is>
      </c>
    </row>
    <row r="22" ht="75" customHeight="1">
      <c r="A22" s="3" t="inlineStr">
        <is>
          <t>Buckley</t>
        </is>
      </c>
      <c r="B22" s="3" t="inlineStr">
        <is>
          <t>buckley</t>
        </is>
      </c>
      <c r="C22" s="4" t="inlineStr">
        <is>
          <t>https://irishfamilysurnames.com/product/buckley/</t>
        </is>
      </c>
      <c r="D22" s="3">
        <f>IMAGE("https://irishfamilysurnames.com/wp-content/uploads/2021/04/buckley-B-H.jpg")</f>
        <v/>
      </c>
      <c r="E22" s="4" t="inlineStr">
        <is>
          <t>https://irishfamilysurnames.com/wp-content/uploads/2021/04/buckley-B-H.jpg</t>
        </is>
      </c>
    </row>
    <row r="23" ht="75" customHeight="1">
      <c r="A23" s="3" t="inlineStr">
        <is>
          <t>Burk</t>
        </is>
      </c>
      <c r="B23" s="3" t="inlineStr">
        <is>
          <t>burk</t>
        </is>
      </c>
      <c r="C23" s="4" t="inlineStr">
        <is>
          <t>https://irishfamilysurnames.com/product/burk/</t>
        </is>
      </c>
      <c r="D23" s="3">
        <f>IMAGE("https://irishfamilysurnames.com/wp-content/uploads/2021/04/burk-B-H.jpg")</f>
        <v/>
      </c>
      <c r="E23" s="4" t="inlineStr">
        <is>
          <t>https://irishfamilysurnames.com/wp-content/uploads/2021/04/burk-B-H.jpg</t>
        </is>
      </c>
    </row>
    <row r="24" ht="75" customHeight="1">
      <c r="A24" s="3" t="inlineStr">
        <is>
          <t>Burke</t>
        </is>
      </c>
      <c r="B24" s="3" t="inlineStr">
        <is>
          <t>burke</t>
        </is>
      </c>
      <c r="C24" s="4" t="inlineStr">
        <is>
          <t>https://irishfamilysurnames.com/product/burke/</t>
        </is>
      </c>
      <c r="D24" s="3">
        <f>IMAGE("https://irishfamilysurnames.com/wp-content/uploads/2021/04/burke-B-H.jpg")</f>
        <v/>
      </c>
      <c r="E24" s="4" t="inlineStr">
        <is>
          <t>https://irishfamilysurnames.com/wp-content/uploads/2021/04/burke-B-H.jpg</t>
        </is>
      </c>
    </row>
    <row r="25" ht="75" customHeight="1">
      <c r="A25" s="3" t="inlineStr">
        <is>
          <t>Burns</t>
        </is>
      </c>
      <c r="B25" s="3" t="inlineStr">
        <is>
          <t>burns</t>
        </is>
      </c>
      <c r="C25" s="4" t="inlineStr">
        <is>
          <t>https://irishfamilysurnames.com/product/burns/</t>
        </is>
      </c>
      <c r="D25" s="3">
        <f>IMAGE("https://irishfamilysurnames.com/wp-content/uploads/2021/04/burns-B-H.jpg")</f>
        <v/>
      </c>
      <c r="E25" s="4" t="inlineStr">
        <is>
          <t>https://irishfamilysurnames.com/wp-content/uploads/2021/04/burns-B-H.jpg</t>
        </is>
      </c>
    </row>
    <row r="26" ht="75" customHeight="1">
      <c r="A26" s="3" t="inlineStr">
        <is>
          <t>Butler</t>
        </is>
      </c>
      <c r="B26" s="3" t="inlineStr">
        <is>
          <t>butler</t>
        </is>
      </c>
      <c r="C26" s="4" t="inlineStr">
        <is>
          <t>https://irishfamilysurnames.com/product/butler/</t>
        </is>
      </c>
      <c r="D26" s="3">
        <f>IMAGE("https://irishfamilysurnames.com/wp-content/uploads/2021/04/butler-B-H.jpg")</f>
        <v/>
      </c>
      <c r="E26" s="4" t="inlineStr">
        <is>
          <t>https://irishfamilysurnames.com/wp-content/uploads/2021/04/butler-B-H.jpg</t>
        </is>
      </c>
    </row>
    <row r="27" ht="75" customHeight="1">
      <c r="A27" s="3" t="inlineStr">
        <is>
          <t>Byrne</t>
        </is>
      </c>
      <c r="B27" s="3" t="inlineStr">
        <is>
          <t>byrne</t>
        </is>
      </c>
      <c r="C27" s="4" t="inlineStr">
        <is>
          <t>https://irishfamilysurnames.com/product/byrne/</t>
        </is>
      </c>
      <c r="D27" s="3">
        <f>IMAGE("https://irishfamilysurnames.com/wp-content/uploads/2021/04/byrne-B-H.jpg")</f>
        <v/>
      </c>
      <c r="E27" s="4" t="inlineStr">
        <is>
          <t>https://irishfamilysurnames.com/wp-content/uploads/2021/04/byrne-B-H.jpg</t>
        </is>
      </c>
    </row>
    <row r="28" ht="75" customHeight="1">
      <c r="A28" s="3" t="inlineStr">
        <is>
          <t>Cahill</t>
        </is>
      </c>
      <c r="B28" s="3" t="inlineStr">
        <is>
          <t>cahill</t>
        </is>
      </c>
      <c r="C28" s="4" t="inlineStr">
        <is>
          <t>https://irishfamilysurnames.com/product/cahill/</t>
        </is>
      </c>
      <c r="D28" s="3">
        <f>IMAGE("https://irishfamilysurnames.com/wp-content/uploads/2021/04/cahill-B-H.jpg")</f>
        <v/>
      </c>
      <c r="E28" s="4" t="inlineStr">
        <is>
          <t>https://irishfamilysurnames.com/wp-content/uploads/2021/04/cahill-B-H.jpg</t>
        </is>
      </c>
    </row>
    <row r="29" ht="75" customHeight="1">
      <c r="A29" s="3" t="inlineStr">
        <is>
          <t>Callaghan</t>
        </is>
      </c>
      <c r="B29" s="3" t="inlineStr">
        <is>
          <t>callaghan</t>
        </is>
      </c>
      <c r="C29" s="4" t="inlineStr">
        <is>
          <t>https://irishfamilysurnames.com/product/callaghan/</t>
        </is>
      </c>
      <c r="D29" s="3">
        <f>IMAGE("https://irishfamilysurnames.com/wp-content/uploads/2021/04/callaghan-B-H.jpg")</f>
        <v/>
      </c>
      <c r="E29" s="4" t="inlineStr">
        <is>
          <t>https://irishfamilysurnames.com/wp-content/uploads/2021/04/callaghan-B-H.jpg</t>
        </is>
      </c>
    </row>
    <row r="30" ht="75" customHeight="1">
      <c r="A30" s="3" t="inlineStr">
        <is>
          <t>Callahan</t>
        </is>
      </c>
      <c r="B30" s="3" t="inlineStr">
        <is>
          <t>callahan</t>
        </is>
      </c>
      <c r="C30" s="4" t="inlineStr">
        <is>
          <t>https://irishfamilysurnames.com/product/callahan/</t>
        </is>
      </c>
      <c r="D30" s="3">
        <f>IMAGE("https://irishfamilysurnames.com/wp-content/uploads/2021/04/callahan-B-H-1.jpg")</f>
        <v/>
      </c>
      <c r="E30" s="4" t="inlineStr">
        <is>
          <t>https://irishfamilysurnames.com/wp-content/uploads/2021/04/callahan-B-H-1.jpg</t>
        </is>
      </c>
    </row>
    <row r="31" ht="75" customHeight="1">
      <c r="A31" s="3" t="inlineStr">
        <is>
          <t>Campbell</t>
        </is>
      </c>
      <c r="B31" s="3" t="inlineStr">
        <is>
          <t>campbell</t>
        </is>
      </c>
      <c r="C31" s="4" t="inlineStr">
        <is>
          <t>https://irishfamilysurnames.com/product/campbell/</t>
        </is>
      </c>
      <c r="D31" s="3">
        <f>IMAGE("https://irishfamilysurnames.com/wp-content/uploads/2021/04/campbell-B-H.jpg")</f>
        <v/>
      </c>
      <c r="E31" s="4" t="inlineStr">
        <is>
          <t>https://irishfamilysurnames.com/wp-content/uploads/2021/04/campbell-B-H.jpg</t>
        </is>
      </c>
    </row>
    <row r="32" ht="75" customHeight="1">
      <c r="A32" s="3" t="inlineStr">
        <is>
          <t>Carey</t>
        </is>
      </c>
      <c r="B32" s="3" t="inlineStr">
        <is>
          <t>carey</t>
        </is>
      </c>
      <c r="C32" s="4" t="inlineStr">
        <is>
          <t>https://irishfamilysurnames.com/product/carey/</t>
        </is>
      </c>
      <c r="D32" s="3">
        <f>IMAGE("https://irishfamilysurnames.com/wp-content/uploads/2021/04/carey-B-H.jpg")</f>
        <v/>
      </c>
      <c r="E32" s="4" t="inlineStr">
        <is>
          <t>https://irishfamilysurnames.com/wp-content/uploads/2021/04/carey-B-H.jpg</t>
        </is>
      </c>
    </row>
    <row r="33" ht="75" customHeight="1">
      <c r="A33" s="3" t="inlineStr">
        <is>
          <t>Carney</t>
        </is>
      </c>
      <c r="B33" s="3" t="inlineStr">
        <is>
          <t>carney</t>
        </is>
      </c>
      <c r="C33" s="4" t="inlineStr">
        <is>
          <t>https://irishfamilysurnames.com/product/carney/</t>
        </is>
      </c>
      <c r="D33" s="3">
        <f>IMAGE("https://irishfamilysurnames.com/wp-content/uploads/2021/04/carney-B-H.jpg")</f>
        <v/>
      </c>
      <c r="E33" s="4" t="inlineStr">
        <is>
          <t>https://irishfamilysurnames.com/wp-content/uploads/2021/04/carney-B-H.jpg</t>
        </is>
      </c>
    </row>
    <row r="34" ht="75" customHeight="1">
      <c r="A34" s="3" t="inlineStr">
        <is>
          <t>Carr</t>
        </is>
      </c>
      <c r="B34" s="3" t="inlineStr">
        <is>
          <t>carr</t>
        </is>
      </c>
      <c r="C34" s="4" t="inlineStr">
        <is>
          <t>https://irishfamilysurnames.com/product/carr/</t>
        </is>
      </c>
      <c r="D34" s="3">
        <f>IMAGE("https://irishfamilysurnames.com/wp-content/uploads/2021/04/carr-B-H.jpg")</f>
        <v/>
      </c>
      <c r="E34" s="4" t="inlineStr">
        <is>
          <t>https://irishfamilysurnames.com/wp-content/uploads/2021/04/carr-B-H.jpg</t>
        </is>
      </c>
    </row>
    <row r="35" ht="75" customHeight="1">
      <c r="A35" s="3" t="inlineStr">
        <is>
          <t>Carroll</t>
        </is>
      </c>
      <c r="B35" s="3" t="inlineStr">
        <is>
          <t>carroll</t>
        </is>
      </c>
      <c r="C35" s="4" t="inlineStr">
        <is>
          <t>https://irishfamilysurnames.com/product/carroll/</t>
        </is>
      </c>
      <c r="D35" s="3">
        <f>IMAGE("https://irishfamilysurnames.com/wp-content/uploads/2021/04/carroll-B-H.jpg")</f>
        <v/>
      </c>
      <c r="E35" s="4" t="inlineStr">
        <is>
          <t>https://irishfamilysurnames.com/wp-content/uploads/2021/04/carroll-B-H.jpg</t>
        </is>
      </c>
    </row>
    <row r="36" ht="75" customHeight="1">
      <c r="A36" s="3" t="inlineStr">
        <is>
          <t>Carthy</t>
        </is>
      </c>
      <c r="B36" s="3" t="inlineStr">
        <is>
          <t>carthy</t>
        </is>
      </c>
      <c r="C36" s="4" t="inlineStr">
        <is>
          <t>https://irishfamilysurnames.com/product/carthy/</t>
        </is>
      </c>
      <c r="D36" s="3">
        <f>IMAGE("https://irishfamilysurnames.com/wp-content/uploads/2021/04/carthy-B-H.jpg")</f>
        <v/>
      </c>
      <c r="E36" s="4" t="inlineStr">
        <is>
          <t>https://irishfamilysurnames.com/wp-content/uploads/2021/04/carthy-B-H.jpg</t>
        </is>
      </c>
    </row>
    <row r="37" ht="75" customHeight="1">
      <c r="A37" s="3" t="inlineStr">
        <is>
          <t>Cary</t>
        </is>
      </c>
      <c r="B37" s="3" t="inlineStr">
        <is>
          <t>cary</t>
        </is>
      </c>
      <c r="C37" s="4" t="inlineStr">
        <is>
          <t>https://irishfamilysurnames.com/product/cary/</t>
        </is>
      </c>
      <c r="D37" s="3">
        <f>IMAGE("https://irishfamilysurnames.com/wp-content/uploads/2021/04/cary-B-H.jpg")</f>
        <v/>
      </c>
      <c r="E37" s="4" t="inlineStr">
        <is>
          <t>https://irishfamilysurnames.com/wp-content/uploads/2021/04/cary-B-H.jpg</t>
        </is>
      </c>
    </row>
    <row r="38" ht="75" customHeight="1">
      <c r="A38" s="3" t="inlineStr">
        <is>
          <t>Casey</t>
        </is>
      </c>
      <c r="B38" s="3" t="inlineStr">
        <is>
          <t>casey</t>
        </is>
      </c>
      <c r="C38" s="4" t="inlineStr">
        <is>
          <t>https://irishfamilysurnames.com/product/casey/</t>
        </is>
      </c>
      <c r="D38" s="3">
        <f>IMAGE("https://irishfamilysurnames.com/wp-content/uploads/2021/04/casey-B-H.jpg")</f>
        <v/>
      </c>
      <c r="E38" s="4" t="inlineStr">
        <is>
          <t>https://irishfamilysurnames.com/wp-content/uploads/2021/04/casey-B-H.jpg</t>
        </is>
      </c>
    </row>
    <row r="39" ht="75" customHeight="1">
      <c r="A39" s="3" t="inlineStr">
        <is>
          <t>Cassidy</t>
        </is>
      </c>
      <c r="B39" s="3" t="inlineStr">
        <is>
          <t>cassidy</t>
        </is>
      </c>
      <c r="C39" s="4" t="inlineStr">
        <is>
          <t>https://irishfamilysurnames.com/product/cassidy/</t>
        </is>
      </c>
      <c r="D39" s="3">
        <f>IMAGE("https://irishfamilysurnames.com/wp-content/uploads/2021/04/cassidy-B-H.jpg")</f>
        <v/>
      </c>
      <c r="E39" s="4" t="inlineStr">
        <is>
          <t>https://irishfamilysurnames.com/wp-content/uploads/2021/04/cassidy-B-H.jpg</t>
        </is>
      </c>
    </row>
    <row r="40" ht="75" customHeight="1">
      <c r="A40" s="3" t="inlineStr">
        <is>
          <t>Cavanagh</t>
        </is>
      </c>
      <c r="B40" s="3" t="inlineStr">
        <is>
          <t>cavanagh</t>
        </is>
      </c>
      <c r="C40" s="4" t="inlineStr">
        <is>
          <t>https://irishfamilysurnames.com/product/cavanagh/</t>
        </is>
      </c>
      <c r="D40" s="3">
        <f>IMAGE("https://irishfamilysurnames.com/wp-content/uploads/2021/04/cavanagh-B-H.jpg")</f>
        <v/>
      </c>
      <c r="E40" s="4" t="inlineStr">
        <is>
          <t>https://irishfamilysurnames.com/wp-content/uploads/2021/04/cavanagh-B-H.jpg</t>
        </is>
      </c>
    </row>
    <row r="41" ht="75" customHeight="1">
      <c r="A41" s="3" t="inlineStr">
        <is>
          <t>Cavanaugh</t>
        </is>
      </c>
      <c r="B41" s="3" t="inlineStr">
        <is>
          <t>cavanaugh</t>
        </is>
      </c>
      <c r="C41" s="4" t="inlineStr">
        <is>
          <t>https://irishfamilysurnames.com/product/cavanaugh/</t>
        </is>
      </c>
      <c r="D41" s="3">
        <f>IMAGE("https://irishfamilysurnames.com/wp-content/uploads/2021/04/cavanaugh-B-H.jpg")</f>
        <v/>
      </c>
      <c r="E41" s="4" t="inlineStr">
        <is>
          <t>https://irishfamilysurnames.com/wp-content/uploads/2021/04/cavanaugh-B-H.jpg</t>
        </is>
      </c>
    </row>
    <row r="42" ht="75" customHeight="1">
      <c r="A42" s="3" t="inlineStr">
        <is>
          <t>Clancy</t>
        </is>
      </c>
      <c r="B42" s="3" t="inlineStr">
        <is>
          <t>clancy</t>
        </is>
      </c>
      <c r="C42" s="4" t="inlineStr">
        <is>
          <t>https://irishfamilysurnames.com/product/clancy/</t>
        </is>
      </c>
      <c r="D42" s="3">
        <f>IMAGE("https://irishfamilysurnames.com/wp-content/uploads/2021/04/clancy-B-H.jpg")</f>
        <v/>
      </c>
      <c r="E42" s="4" t="inlineStr">
        <is>
          <t>https://irishfamilysurnames.com/wp-content/uploads/2021/04/clancy-B-H.jpg</t>
        </is>
      </c>
    </row>
    <row r="43" ht="75" customHeight="1">
      <c r="A43" s="3" t="inlineStr">
        <is>
          <t>Clark</t>
        </is>
      </c>
      <c r="B43" s="3" t="inlineStr">
        <is>
          <t>clark</t>
        </is>
      </c>
      <c r="C43" s="4" t="inlineStr">
        <is>
          <t>https://irishfamilysurnames.com/product/clark/</t>
        </is>
      </c>
      <c r="D43" s="3">
        <f>IMAGE("https://irishfamilysurnames.com/wp-content/uploads/2021/04/clark-B-H.jpg")</f>
        <v/>
      </c>
      <c r="E43" s="4" t="inlineStr">
        <is>
          <t>https://irishfamilysurnames.com/wp-content/uploads/2021/04/clark-B-H.jpg</t>
        </is>
      </c>
    </row>
    <row r="44" ht="75" customHeight="1">
      <c r="A44" s="3" t="inlineStr">
        <is>
          <t>Clarke</t>
        </is>
      </c>
      <c r="B44" s="3" t="inlineStr">
        <is>
          <t>clarke</t>
        </is>
      </c>
      <c r="C44" s="4" t="inlineStr">
        <is>
          <t>https://irishfamilysurnames.com/product/clarke/</t>
        </is>
      </c>
      <c r="D44" s="3">
        <f>IMAGE("https://irishfamilysurnames.com/wp-content/uploads/2021/04/clarke-B-H.jpg")</f>
        <v/>
      </c>
      <c r="E44" s="4" t="inlineStr">
        <is>
          <t>https://irishfamilysurnames.com/wp-content/uploads/2021/04/clarke-B-H.jpg</t>
        </is>
      </c>
    </row>
    <row r="45" ht="75" customHeight="1">
      <c r="A45" s="3" t="inlineStr">
        <is>
          <t>Cleary</t>
        </is>
      </c>
      <c r="B45" s="3" t="inlineStr">
        <is>
          <t>cleary</t>
        </is>
      </c>
      <c r="C45" s="4" t="inlineStr">
        <is>
          <t>https://irishfamilysurnames.com/product/cleary/</t>
        </is>
      </c>
      <c r="D45" s="3">
        <f>IMAGE("https://irishfamilysurnames.com/wp-content/uploads/2021/04/cleary-B-H.jpg")</f>
        <v/>
      </c>
      <c r="E45" s="4" t="inlineStr">
        <is>
          <t>https://irishfamilysurnames.com/wp-content/uploads/2021/04/cleary-B-H.jpg</t>
        </is>
      </c>
    </row>
    <row r="46" ht="75" customHeight="1">
      <c r="A46" s="3" t="inlineStr">
        <is>
          <t>Clery</t>
        </is>
      </c>
      <c r="B46" s="3" t="inlineStr">
        <is>
          <t>clery</t>
        </is>
      </c>
      <c r="C46" s="4" t="inlineStr">
        <is>
          <t>https://irishfamilysurnames.com/product/clery/</t>
        </is>
      </c>
      <c r="D46" s="3">
        <f>IMAGE("https://irishfamilysurnames.com/wp-content/uploads/2021/04/clery-B-H.jpg")</f>
        <v/>
      </c>
      <c r="E46" s="4" t="inlineStr">
        <is>
          <t>https://irishfamilysurnames.com/wp-content/uploads/2021/04/clery-B-H.jpg</t>
        </is>
      </c>
    </row>
    <row r="47" ht="75" customHeight="1">
      <c r="A47" s="3" t="inlineStr">
        <is>
          <t>Coffey</t>
        </is>
      </c>
      <c r="B47" s="3" t="inlineStr">
        <is>
          <t>coffey</t>
        </is>
      </c>
      <c r="C47" s="4" t="inlineStr">
        <is>
          <t>https://irishfamilysurnames.com/product/coffey/</t>
        </is>
      </c>
      <c r="D47" s="3">
        <f>IMAGE("https://irishfamilysurnames.com/wp-content/uploads/2021/04/coffey-B-H.jpg")</f>
        <v/>
      </c>
      <c r="E47" s="4" t="inlineStr">
        <is>
          <t>https://irishfamilysurnames.com/wp-content/uploads/2021/04/coffey-B-H.jpg</t>
        </is>
      </c>
    </row>
    <row r="48" ht="75" customHeight="1">
      <c r="A48" s="3" t="inlineStr">
        <is>
          <t>Coleman</t>
        </is>
      </c>
      <c r="B48" s="3" t="inlineStr">
        <is>
          <t>coleman</t>
        </is>
      </c>
      <c r="C48" s="4" t="inlineStr">
        <is>
          <t>https://irishfamilysurnames.com/product/coleman/</t>
        </is>
      </c>
      <c r="D48" s="3">
        <f>IMAGE("https://irishfamilysurnames.com/wp-content/uploads/2021/04/coleman-B-H.jpg")</f>
        <v/>
      </c>
      <c r="E48" s="4" t="inlineStr">
        <is>
          <t>https://irishfamilysurnames.com/wp-content/uploads/2021/04/coleman-B-H.jpg</t>
        </is>
      </c>
    </row>
    <row r="49" ht="75" customHeight="1">
      <c r="A49" s="3" t="inlineStr">
        <is>
          <t>Collins</t>
        </is>
      </c>
      <c r="B49" s="3" t="inlineStr">
        <is>
          <t>collins</t>
        </is>
      </c>
      <c r="C49" s="4" t="inlineStr">
        <is>
          <t>https://irishfamilysurnames.com/product/collins/</t>
        </is>
      </c>
      <c r="D49" s="3">
        <f>IMAGE("https://irishfamilysurnames.com/wp-content/uploads/2021/04/collins-B-H.jpg")</f>
        <v/>
      </c>
      <c r="E49" s="4" t="inlineStr">
        <is>
          <t>https://irishfamilysurnames.com/wp-content/uploads/2021/04/collins-B-H.jpg</t>
        </is>
      </c>
    </row>
    <row r="50" ht="75" customHeight="1">
      <c r="A50" s="3" t="inlineStr">
        <is>
          <t>Condon</t>
        </is>
      </c>
      <c r="B50" s="3" t="inlineStr">
        <is>
          <t>condon</t>
        </is>
      </c>
      <c r="C50" s="4" t="inlineStr">
        <is>
          <t>https://irishfamilysurnames.com/product/condon/</t>
        </is>
      </c>
      <c r="D50" s="3">
        <f>IMAGE("https://irishfamilysurnames.com/wp-content/uploads/2021/04/condon-B-H.jpg")</f>
        <v/>
      </c>
      <c r="E50" s="4" t="inlineStr">
        <is>
          <t>https://irishfamilysurnames.com/wp-content/uploads/2021/04/condon-B-H.jpg</t>
        </is>
      </c>
    </row>
    <row r="51" ht="75" customHeight="1">
      <c r="A51" s="3" t="inlineStr">
        <is>
          <t>Conlan</t>
        </is>
      </c>
      <c r="B51" s="3" t="inlineStr">
        <is>
          <t>conlan</t>
        </is>
      </c>
      <c r="C51" s="4" t="inlineStr">
        <is>
          <t>https://irishfamilysurnames.com/product/conlan/</t>
        </is>
      </c>
      <c r="D51" s="3">
        <f>IMAGE("https://irishfamilysurnames.com/wp-content/uploads/2021/04/conlan-B-H.jpg")</f>
        <v/>
      </c>
      <c r="E51" s="4" t="inlineStr">
        <is>
          <t>https://irishfamilysurnames.com/wp-content/uploads/2021/04/conlan-B-H.jpg</t>
        </is>
      </c>
    </row>
    <row r="52" ht="75" customHeight="1">
      <c r="A52" s="3" t="inlineStr">
        <is>
          <t>Connell</t>
        </is>
      </c>
      <c r="B52" s="3" t="inlineStr">
        <is>
          <t>connell</t>
        </is>
      </c>
      <c r="C52" s="4" t="inlineStr">
        <is>
          <t>https://irishfamilysurnames.com/product/connell/</t>
        </is>
      </c>
      <c r="D52" s="3">
        <f>IMAGE("https://irishfamilysurnames.com/wp-content/uploads/2021/04/connell-B-H.jpg")</f>
        <v/>
      </c>
      <c r="E52" s="4" t="inlineStr">
        <is>
          <t>https://irishfamilysurnames.com/wp-content/uploads/2021/04/connell-B-H.jpg</t>
        </is>
      </c>
    </row>
    <row r="53" ht="75" customHeight="1">
      <c r="A53" s="3" t="inlineStr">
        <is>
          <t>Connolly</t>
        </is>
      </c>
      <c r="B53" s="3" t="inlineStr">
        <is>
          <t>connolly</t>
        </is>
      </c>
      <c r="C53" s="4" t="inlineStr">
        <is>
          <t>https://irishfamilysurnames.com/product/connolly/</t>
        </is>
      </c>
      <c r="D53" s="3">
        <f>IMAGE("https://irishfamilysurnames.com/wp-content/uploads/2021/04/connolly-B-H.jpg")</f>
        <v/>
      </c>
      <c r="E53" s="4" t="inlineStr">
        <is>
          <t>https://irishfamilysurnames.com/wp-content/uploads/2021/04/connolly-B-H.jpg</t>
        </is>
      </c>
    </row>
    <row r="54" ht="75" customHeight="1">
      <c r="A54" s="3" t="inlineStr">
        <is>
          <t>Connor</t>
        </is>
      </c>
      <c r="B54" s="3" t="inlineStr">
        <is>
          <t>connor</t>
        </is>
      </c>
      <c r="C54" s="4" t="inlineStr">
        <is>
          <t>https://irishfamilysurnames.com/product/connor/</t>
        </is>
      </c>
      <c r="D54" s="3">
        <f>IMAGE("https://irishfamilysurnames.com/wp-content/uploads/2021/04/connor-B-H.jpg")</f>
        <v/>
      </c>
      <c r="E54" s="4" t="inlineStr">
        <is>
          <t>https://irishfamilysurnames.com/wp-content/uploads/2021/04/connor-B-H.jpg</t>
        </is>
      </c>
    </row>
    <row r="55" ht="75" customHeight="1">
      <c r="A55" s="3" t="inlineStr">
        <is>
          <t>Conroy</t>
        </is>
      </c>
      <c r="B55" s="3" t="inlineStr">
        <is>
          <t>conroy</t>
        </is>
      </c>
      <c r="C55" s="4" t="inlineStr">
        <is>
          <t>https://irishfamilysurnames.com/product/conroy/</t>
        </is>
      </c>
      <c r="D55" s="3">
        <f>IMAGE("https://irishfamilysurnames.com/wp-content/uploads/2021/04/conroy-B-H.jpg")</f>
        <v/>
      </c>
      <c r="E55" s="4" t="inlineStr">
        <is>
          <t>https://irishfamilysurnames.com/wp-content/uploads/2021/04/conroy-B-H.jpg</t>
        </is>
      </c>
    </row>
    <row r="56" ht="75" customHeight="1">
      <c r="A56" s="3" t="inlineStr">
        <is>
          <t>Conway</t>
        </is>
      </c>
      <c r="B56" s="3" t="inlineStr">
        <is>
          <t>conway</t>
        </is>
      </c>
      <c r="C56" s="4" t="inlineStr">
        <is>
          <t>https://irishfamilysurnames.com/product/conway/</t>
        </is>
      </c>
      <c r="D56" s="3">
        <f>IMAGE("https://irishfamilysurnames.com/wp-content/uploads/2021/04/conway-B-H.jpg")</f>
        <v/>
      </c>
      <c r="E56" s="4" t="inlineStr">
        <is>
          <t>https://irishfamilysurnames.com/wp-content/uploads/2021/04/conway-B-H.jpg</t>
        </is>
      </c>
    </row>
    <row r="57" ht="75" customHeight="1">
      <c r="A57" s="3" t="inlineStr">
        <is>
          <t>Cooney</t>
        </is>
      </c>
      <c r="B57" s="3" t="inlineStr">
        <is>
          <t>cooney</t>
        </is>
      </c>
      <c r="C57" s="4" t="inlineStr">
        <is>
          <t>https://irishfamilysurnames.com/product/cooney/</t>
        </is>
      </c>
      <c r="D57" s="3">
        <f>IMAGE("https://irishfamilysurnames.com/wp-content/uploads/2021/04/cooney-B-H.jpg")</f>
        <v/>
      </c>
      <c r="E57" s="4" t="inlineStr">
        <is>
          <t>https://irishfamilysurnames.com/wp-content/uploads/2021/04/cooney-B-H.jpg</t>
        </is>
      </c>
    </row>
    <row r="58" ht="75" customHeight="1">
      <c r="A58" s="3" t="inlineStr">
        <is>
          <t>Corcoran</t>
        </is>
      </c>
      <c r="B58" s="3" t="inlineStr">
        <is>
          <t>corcoran</t>
        </is>
      </c>
      <c r="C58" s="4" t="inlineStr">
        <is>
          <t>https://irishfamilysurnames.com/product/corcoran/</t>
        </is>
      </c>
      <c r="D58" s="3">
        <f>IMAGE("https://irishfamilysurnames.com/wp-content/uploads/2021/04/corcoran-B-H.jpg")</f>
        <v/>
      </c>
      <c r="E58" s="4" t="inlineStr">
        <is>
          <t>https://irishfamilysurnames.com/wp-content/uploads/2021/04/corcoran-B-H.jpg</t>
        </is>
      </c>
    </row>
    <row r="59" ht="75" customHeight="1">
      <c r="A59" s="3" t="inlineStr">
        <is>
          <t>Corrigan</t>
        </is>
      </c>
      <c r="B59" s="3" t="inlineStr">
        <is>
          <t>corrigan</t>
        </is>
      </c>
      <c r="C59" s="4" t="inlineStr">
        <is>
          <t>https://irishfamilysurnames.com/product/corrigan/</t>
        </is>
      </c>
      <c r="D59" s="3">
        <f>IMAGE("https://irishfamilysurnames.com/wp-content/uploads/2021/04/corrigan-B-H.jpg")</f>
        <v/>
      </c>
      <c r="E59" s="4" t="inlineStr">
        <is>
          <t>https://irishfamilysurnames.com/wp-content/uploads/2021/04/corrigan-B-H.jpg</t>
        </is>
      </c>
    </row>
    <row r="60" ht="75" customHeight="1">
      <c r="A60" s="3" t="inlineStr">
        <is>
          <t>Cosgrave</t>
        </is>
      </c>
      <c r="B60" s="3" t="inlineStr">
        <is>
          <t>cosgrave</t>
        </is>
      </c>
      <c r="C60" s="4" t="inlineStr">
        <is>
          <t>https://irishfamilysurnames.com/product/cosgrave/</t>
        </is>
      </c>
      <c r="D60" s="3">
        <f>IMAGE("https://irishfamilysurnames.com/wp-content/uploads/2021/04/cosgrave-B-H.jpg")</f>
        <v/>
      </c>
      <c r="E60" s="4" t="inlineStr">
        <is>
          <t>https://irishfamilysurnames.com/wp-content/uploads/2021/04/cosgrave-B-H.jpg</t>
        </is>
      </c>
    </row>
    <row r="61" ht="75" customHeight="1">
      <c r="A61" s="3" t="inlineStr">
        <is>
          <t>Cosgrove</t>
        </is>
      </c>
      <c r="B61" s="3" t="inlineStr">
        <is>
          <t>cosgrove</t>
        </is>
      </c>
      <c r="C61" s="4" t="inlineStr">
        <is>
          <t>https://irishfamilysurnames.com/product/cosgrove/</t>
        </is>
      </c>
      <c r="D61" s="3">
        <f>IMAGE("https://irishfamilysurnames.com/wp-content/uploads/2021/04/cosgrove-B-H.jpg")</f>
        <v/>
      </c>
      <c r="E61" s="4" t="inlineStr">
        <is>
          <t>https://irishfamilysurnames.com/wp-content/uploads/2021/04/cosgrove-B-H.jpg</t>
        </is>
      </c>
    </row>
    <row r="62" ht="75" customHeight="1">
      <c r="A62" s="3" t="inlineStr">
        <is>
          <t>Costello</t>
        </is>
      </c>
      <c r="B62" s="3" t="inlineStr">
        <is>
          <t>costello</t>
        </is>
      </c>
      <c r="C62" s="4" t="inlineStr">
        <is>
          <t>https://irishfamilysurnames.com/product/costello/</t>
        </is>
      </c>
      <c r="D62" s="3">
        <f>IMAGE("https://irishfamilysurnames.com/wp-content/uploads/2021/04/costello-B-H.jpg")</f>
        <v/>
      </c>
      <c r="E62" s="4" t="inlineStr">
        <is>
          <t>https://irishfamilysurnames.com/wp-content/uploads/2021/04/costello-B-H.jpg</t>
        </is>
      </c>
    </row>
    <row r="63" ht="75" customHeight="1">
      <c r="A63" s="3" t="inlineStr">
        <is>
          <t>Cotter</t>
        </is>
      </c>
      <c r="B63" s="3" t="inlineStr">
        <is>
          <t>cotter</t>
        </is>
      </c>
      <c r="C63" s="4" t="inlineStr">
        <is>
          <t>https://irishfamilysurnames.com/product/cotter/</t>
        </is>
      </c>
      <c r="D63" s="3">
        <f>IMAGE("https://irishfamilysurnames.com/wp-content/uploads/2021/04/cotter-B-H.jpg")</f>
        <v/>
      </c>
      <c r="E63" s="4" t="inlineStr">
        <is>
          <t>https://irishfamilysurnames.com/wp-content/uploads/2021/04/cotter-B-H.jpg</t>
        </is>
      </c>
    </row>
    <row r="64" ht="75" customHeight="1">
      <c r="A64" s="3" t="inlineStr">
        <is>
          <t>Coughlan</t>
        </is>
      </c>
      <c r="B64" s="3" t="inlineStr">
        <is>
          <t>coughlan</t>
        </is>
      </c>
      <c r="C64" s="4" t="inlineStr">
        <is>
          <t>https://irishfamilysurnames.com/product/coughlan/</t>
        </is>
      </c>
      <c r="D64" s="3">
        <f>IMAGE("https://irishfamilysurnames.com/wp-content/uploads/2021/04/coughlan-B-H.jpg")</f>
        <v/>
      </c>
      <c r="E64" s="4" t="inlineStr">
        <is>
          <t>https://irishfamilysurnames.com/wp-content/uploads/2021/04/coughlan-B-H.jpg</t>
        </is>
      </c>
    </row>
    <row r="65" ht="75" customHeight="1">
      <c r="A65" s="3" t="inlineStr">
        <is>
          <t>Coughlin</t>
        </is>
      </c>
      <c r="B65" s="3" t="inlineStr">
        <is>
          <t>coughlin</t>
        </is>
      </c>
      <c r="C65" s="4" t="inlineStr">
        <is>
          <t>https://irishfamilysurnames.com/product/coughlin/</t>
        </is>
      </c>
      <c r="D65" s="3">
        <f>IMAGE("https://irishfamilysurnames.com/wp-content/uploads/2021/04/coughlin-B-H.jpg")</f>
        <v/>
      </c>
      <c r="E65" s="4" t="inlineStr">
        <is>
          <t>https://irishfamilysurnames.com/wp-content/uploads/2021/04/coughlin-B-H.jpg</t>
        </is>
      </c>
    </row>
    <row r="66" ht="75" customHeight="1">
      <c r="A66" s="3" t="inlineStr">
        <is>
          <t>Coyle</t>
        </is>
      </c>
      <c r="B66" s="3" t="inlineStr">
        <is>
          <t>coyle</t>
        </is>
      </c>
      <c r="C66" s="4" t="inlineStr">
        <is>
          <t>https://irishfamilysurnames.com/product/coyle/</t>
        </is>
      </c>
      <c r="D66" s="3">
        <f>IMAGE("https://irishfamilysurnames.com/wp-content/uploads/2021/04/coyle-B-H.jpg")</f>
        <v/>
      </c>
      <c r="E66" s="4" t="inlineStr">
        <is>
          <t>https://irishfamilysurnames.com/wp-content/uploads/2021/04/coyle-B-H.jpg</t>
        </is>
      </c>
    </row>
    <row r="67" ht="75" customHeight="1">
      <c r="A67" s="3" t="inlineStr">
        <is>
          <t>Coyne</t>
        </is>
      </c>
      <c r="B67" s="3" t="inlineStr">
        <is>
          <t>coyne</t>
        </is>
      </c>
      <c r="C67" s="4" t="inlineStr">
        <is>
          <t>https://irishfamilysurnames.com/product/coyne/</t>
        </is>
      </c>
      <c r="D67" s="3">
        <f>IMAGE("https://irishfamilysurnames.com/wp-content/uploads/2021/04/coyne-B-H.jpg")</f>
        <v/>
      </c>
      <c r="E67" s="4" t="inlineStr">
        <is>
          <t>https://irishfamilysurnames.com/wp-content/uploads/2021/04/coyne-B-H.jpg</t>
        </is>
      </c>
    </row>
    <row r="68" ht="75" customHeight="1">
      <c r="A68" s="3" t="inlineStr">
        <is>
          <t>Cremin</t>
        </is>
      </c>
      <c r="B68" s="3" t="inlineStr">
        <is>
          <t>cremin</t>
        </is>
      </c>
      <c r="C68" s="4" t="inlineStr">
        <is>
          <t>https://irishfamilysurnames.com/product/cremin/</t>
        </is>
      </c>
      <c r="D68" s="3">
        <f>IMAGE("https://irishfamilysurnames.com/wp-content/uploads/2021/04/cremin-B-H.jpg")</f>
        <v/>
      </c>
      <c r="E68" s="4" t="inlineStr">
        <is>
          <t>https://irishfamilysurnames.com/wp-content/uploads/2021/04/cremin-B-H.jpg</t>
        </is>
      </c>
    </row>
    <row r="69" ht="75" customHeight="1">
      <c r="A69" s="3" t="inlineStr">
        <is>
          <t>Cronin</t>
        </is>
      </c>
      <c r="B69" s="3" t="inlineStr">
        <is>
          <t>cronin</t>
        </is>
      </c>
      <c r="C69" s="4" t="inlineStr">
        <is>
          <t>https://irishfamilysurnames.com/product/cronin/</t>
        </is>
      </c>
      <c r="D69" s="3">
        <f>IMAGE("https://irishfamilysurnames.com/wp-content/uploads/2021/04/cronin-B-H.jpg")</f>
        <v/>
      </c>
      <c r="E69" s="4" t="inlineStr">
        <is>
          <t>https://irishfamilysurnames.com/wp-content/uploads/2021/04/cronin-B-H.jpg</t>
        </is>
      </c>
    </row>
    <row r="70" ht="75" customHeight="1">
      <c r="A70" s="3" t="inlineStr">
        <is>
          <t>Crowe</t>
        </is>
      </c>
      <c r="B70" s="3" t="inlineStr">
        <is>
          <t>crowe</t>
        </is>
      </c>
      <c r="C70" s="4" t="inlineStr">
        <is>
          <t>https://irishfamilysurnames.com/product/crowe/</t>
        </is>
      </c>
      <c r="D70" s="3">
        <f>IMAGE("https://irishfamilysurnames.com/wp-content/uploads/2021/04/crowe-B-H.jpg")</f>
        <v/>
      </c>
      <c r="E70" s="4" t="inlineStr">
        <is>
          <t>https://irishfamilysurnames.com/wp-content/uploads/2021/04/crowe-B-H.jpg</t>
        </is>
      </c>
    </row>
    <row r="71" ht="75" customHeight="1">
      <c r="A71" s="3" t="inlineStr">
        <is>
          <t>Crowley</t>
        </is>
      </c>
      <c r="B71" s="3" t="inlineStr">
        <is>
          <t>crowley</t>
        </is>
      </c>
      <c r="C71" s="4" t="inlineStr">
        <is>
          <t>https://irishfamilysurnames.com/product/crowley/</t>
        </is>
      </c>
      <c r="D71" s="3">
        <f>IMAGE("https://irishfamilysurnames.com/wp-content/uploads/2021/04/crowley-B-H.jpg")</f>
        <v/>
      </c>
      <c r="E71" s="4" t="inlineStr">
        <is>
          <t>https://irishfamilysurnames.com/wp-content/uploads/2021/04/crowley-B-H.jpg</t>
        </is>
      </c>
    </row>
    <row r="72" ht="75" customHeight="1">
      <c r="A72" s="3" t="inlineStr">
        <is>
          <t>Cullen</t>
        </is>
      </c>
      <c r="B72" s="3" t="inlineStr">
        <is>
          <t>cullen</t>
        </is>
      </c>
      <c r="C72" s="4" t="inlineStr">
        <is>
          <t>https://irishfamilysurnames.com/product/cullen/</t>
        </is>
      </c>
      <c r="D72" s="3">
        <f>IMAGE("https://irishfamilysurnames.com/wp-content/uploads/2021/04/cullen-B-H.jpg")</f>
        <v/>
      </c>
      <c r="E72" s="4" t="inlineStr">
        <is>
          <t>https://irishfamilysurnames.com/wp-content/uploads/2021/04/cullen-B-H.jpg</t>
        </is>
      </c>
    </row>
    <row r="73" ht="75" customHeight="1">
      <c r="A73" s="3" t="inlineStr">
        <is>
          <t>Cummins</t>
        </is>
      </c>
      <c r="B73" s="3" t="inlineStr">
        <is>
          <t>cummins</t>
        </is>
      </c>
      <c r="C73" s="4" t="inlineStr">
        <is>
          <t>https://irishfamilysurnames.com/product/cummins/</t>
        </is>
      </c>
      <c r="D73" s="3">
        <f>IMAGE("https://irishfamilysurnames.com/wp-content/uploads/2021/04/cummins-B-H.jpg")</f>
        <v/>
      </c>
      <c r="E73" s="4" t="inlineStr">
        <is>
          <t>https://irishfamilysurnames.com/wp-content/uploads/2021/04/cummins-B-H.jpg</t>
        </is>
      </c>
    </row>
    <row r="74" ht="75" customHeight="1">
      <c r="A74" s="3" t="inlineStr">
        <is>
          <t>Cunningham</t>
        </is>
      </c>
      <c r="B74" s="3" t="inlineStr">
        <is>
          <t>cunningham</t>
        </is>
      </c>
      <c r="C74" s="4" t="inlineStr">
        <is>
          <t>https://irishfamilysurnames.com/product/cunningham/</t>
        </is>
      </c>
      <c r="D74" s="3">
        <f>IMAGE("https://irishfamilysurnames.com/wp-content/uploads/2021/04/cunningham-B-H.jpg")</f>
        <v/>
      </c>
      <c r="E74" s="4" t="inlineStr">
        <is>
          <t>https://irishfamilysurnames.com/wp-content/uploads/2021/04/cunningham-B-H.jpg</t>
        </is>
      </c>
    </row>
    <row r="75" ht="75" customHeight="1">
      <c r="A75" s="3" t="inlineStr">
        <is>
          <t>Curran</t>
        </is>
      </c>
      <c r="B75" s="3" t="inlineStr">
        <is>
          <t>curran</t>
        </is>
      </c>
      <c r="C75" s="4" t="inlineStr">
        <is>
          <t>https://irishfamilysurnames.com/product/curran/</t>
        </is>
      </c>
      <c r="D75" s="3">
        <f>IMAGE("https://irishfamilysurnames.com/wp-content/uploads/2021/04/curran-B-H.jpg")</f>
        <v/>
      </c>
      <c r="E75" s="4" t="inlineStr">
        <is>
          <t>https://irishfamilysurnames.com/wp-content/uploads/2021/04/curran-B-H.jpg</t>
        </is>
      </c>
    </row>
    <row r="76" ht="75" customHeight="1">
      <c r="A76" s="3" t="inlineStr">
        <is>
          <t>Curtin</t>
        </is>
      </c>
      <c r="B76" s="3" t="inlineStr">
        <is>
          <t>curtin</t>
        </is>
      </c>
      <c r="C76" s="4" t="inlineStr">
        <is>
          <t>https://irishfamilysurnames.com/product/curtin/</t>
        </is>
      </c>
      <c r="D76" s="3">
        <f>IMAGE("https://irishfamilysurnames.com/wp-content/uploads/2021/04/curtin-B-H.jpg")</f>
        <v/>
      </c>
      <c r="E76" s="4" t="inlineStr">
        <is>
          <t>https://irishfamilysurnames.com/wp-content/uploads/2021/04/curtin-B-H.jpg</t>
        </is>
      </c>
    </row>
    <row r="77" ht="75" customHeight="1">
      <c r="A77" s="3" t="inlineStr">
        <is>
          <t>Cusack</t>
        </is>
      </c>
      <c r="B77" s="3" t="inlineStr">
        <is>
          <t>cusack</t>
        </is>
      </c>
      <c r="C77" s="4" t="inlineStr">
        <is>
          <t>https://irishfamilysurnames.com/product/cusack/</t>
        </is>
      </c>
      <c r="D77" s="3">
        <f>IMAGE("https://irishfamilysurnames.com/wp-content/uploads/2021/04/cusack-B-H.jpg")</f>
        <v/>
      </c>
      <c r="E77" s="4" t="inlineStr">
        <is>
          <t>https://irishfamilysurnames.com/wp-content/uploads/2021/04/cusack-B-H.jpg</t>
        </is>
      </c>
    </row>
    <row r="78" ht="75" customHeight="1">
      <c r="A78" s="3" t="inlineStr">
        <is>
          <t>Daley</t>
        </is>
      </c>
      <c r="B78" s="3" t="inlineStr">
        <is>
          <t>daley</t>
        </is>
      </c>
      <c r="C78" s="4" t="inlineStr">
        <is>
          <t>https://irishfamilysurnames.com/product/daley/</t>
        </is>
      </c>
      <c r="D78" s="3">
        <f>IMAGE("https://irishfamilysurnames.com/wp-content/uploads/2021/04/daley-B-H.jpg")</f>
        <v/>
      </c>
      <c r="E78" s="4" t="inlineStr">
        <is>
          <t>https://irishfamilysurnames.com/wp-content/uploads/2021/04/daley-B-H.jpg</t>
        </is>
      </c>
    </row>
    <row r="79" ht="75" customHeight="1">
      <c r="A79" s="3" t="inlineStr">
        <is>
          <t>Dalton</t>
        </is>
      </c>
      <c r="B79" s="3" t="inlineStr">
        <is>
          <t>dalton</t>
        </is>
      </c>
      <c r="C79" s="4" t="inlineStr">
        <is>
          <t>https://irishfamilysurnames.com/product/dalton/</t>
        </is>
      </c>
      <c r="D79" s="3">
        <f>IMAGE("https://irishfamilysurnames.com/wp-content/uploads/2021/04/dalton-B-H.jpg")</f>
        <v/>
      </c>
      <c r="E79" s="4" t="inlineStr">
        <is>
          <t>https://irishfamilysurnames.com/wp-content/uploads/2021/04/dalton-B-H.jpg</t>
        </is>
      </c>
    </row>
    <row r="80" ht="75" customHeight="1">
      <c r="A80" s="3" t="inlineStr">
        <is>
          <t>Daly</t>
        </is>
      </c>
      <c r="B80" s="3" t="inlineStr">
        <is>
          <t>daly</t>
        </is>
      </c>
      <c r="C80" s="4" t="inlineStr">
        <is>
          <t>https://irishfamilysurnames.com/product/daly/</t>
        </is>
      </c>
      <c r="D80" s="3">
        <f>IMAGE("https://irishfamilysurnames.com/wp-content/uploads/2021/04/daly-B-H.jpg")</f>
        <v/>
      </c>
      <c r="E80" s="4" t="inlineStr">
        <is>
          <t>https://irishfamilysurnames.com/wp-content/uploads/2021/04/daly-B-H.jpg</t>
        </is>
      </c>
    </row>
    <row r="81" ht="75" customHeight="1">
      <c r="A81" s="3" t="inlineStr">
        <is>
          <t>Darcy</t>
        </is>
      </c>
      <c r="B81" s="3" t="inlineStr">
        <is>
          <t>darcy</t>
        </is>
      </c>
      <c r="C81" s="4" t="inlineStr">
        <is>
          <t>https://irishfamilysurnames.com/product/darcy/</t>
        </is>
      </c>
      <c r="D81" s="3">
        <f>IMAGE("https://irishfamilysurnames.com/wp-content/uploads/2021/04/darcy-B-H-7.jpg")</f>
        <v/>
      </c>
      <c r="E81" s="4" t="inlineStr">
        <is>
          <t>https://irishfamilysurnames.com/wp-content/uploads/2021/04/darcy-B-H-7.jpg</t>
        </is>
      </c>
    </row>
    <row r="82" ht="75" customHeight="1">
      <c r="A82" s="3" t="inlineStr">
        <is>
          <t>Daugherty</t>
        </is>
      </c>
      <c r="B82" s="3" t="inlineStr">
        <is>
          <t>daugherty</t>
        </is>
      </c>
      <c r="C82" s="4" t="inlineStr">
        <is>
          <t>https://irishfamilysurnames.com/product/daugherty/</t>
        </is>
      </c>
      <c r="D82" s="3">
        <f>IMAGE("https://irishfamilysurnames.com/wp-content/uploads/2021/04/daugherty-B-H.jpg")</f>
        <v/>
      </c>
      <c r="E82" s="4" t="inlineStr">
        <is>
          <t>https://irishfamilysurnames.com/wp-content/uploads/2021/04/daugherty-B-H.jpg</t>
        </is>
      </c>
    </row>
    <row r="83" ht="75" customHeight="1">
      <c r="A83" s="3" t="inlineStr">
        <is>
          <t>Davis</t>
        </is>
      </c>
      <c r="B83" s="3" t="inlineStr">
        <is>
          <t>davis</t>
        </is>
      </c>
      <c r="C83" s="4" t="inlineStr">
        <is>
          <t>https://irishfamilysurnames.com/product/davis/</t>
        </is>
      </c>
      <c r="D83" s="3">
        <f>IMAGE("https://irishfamilysurnames.com/wp-content/uploads/2021/04/davis-B-H.jpg")</f>
        <v/>
      </c>
      <c r="E83" s="4" t="inlineStr">
        <is>
          <t>https://irishfamilysurnames.com/wp-content/uploads/2021/04/davis-B-H.jpg</t>
        </is>
      </c>
    </row>
    <row r="84" ht="75" customHeight="1">
      <c r="A84" s="3" t="inlineStr">
        <is>
          <t>Delaney</t>
        </is>
      </c>
      <c r="B84" s="3" t="inlineStr">
        <is>
          <t>delaney</t>
        </is>
      </c>
      <c r="C84" s="4" t="inlineStr">
        <is>
          <t>https://irishfamilysurnames.com/product/delaney/</t>
        </is>
      </c>
      <c r="D84" s="3">
        <f>IMAGE("https://irishfamilysurnames.com/wp-content/uploads/2021/04/delaney-B-H.jpg")</f>
        <v/>
      </c>
      <c r="E84" s="4" t="inlineStr">
        <is>
          <t>https://irishfamilysurnames.com/wp-content/uploads/2021/04/delaney-B-H.jpg</t>
        </is>
      </c>
    </row>
    <row r="85" ht="75" customHeight="1">
      <c r="A85" s="3" t="inlineStr">
        <is>
          <t>Dempsey</t>
        </is>
      </c>
      <c r="B85" s="3" t="inlineStr">
        <is>
          <t>dempsey</t>
        </is>
      </c>
      <c r="C85" s="4" t="inlineStr">
        <is>
          <t>https://irishfamilysurnames.com/product/dempsey/</t>
        </is>
      </c>
      <c r="D85" s="3">
        <f>IMAGE("https://irishfamilysurnames.com/wp-content/uploads/2021/04/dempsey-B-H.jpg")</f>
        <v/>
      </c>
      <c r="E85" s="4" t="inlineStr">
        <is>
          <t>https://irishfamilysurnames.com/wp-content/uploads/2021/04/dempsey-B-H.jpg</t>
        </is>
      </c>
    </row>
    <row r="86" ht="75" customHeight="1">
      <c r="A86" s="3" t="inlineStr">
        <is>
          <t>Devine</t>
        </is>
      </c>
      <c r="B86" s="3" t="inlineStr">
        <is>
          <t>devine</t>
        </is>
      </c>
      <c r="C86" s="4" t="inlineStr">
        <is>
          <t>https://irishfamilysurnames.com/product/devine/</t>
        </is>
      </c>
      <c r="D86" s="3">
        <f>IMAGE("https://irishfamilysurnames.com/wp-content/uploads/2021/04/devine-B-H.jpg")</f>
        <v/>
      </c>
      <c r="E86" s="4" t="inlineStr">
        <is>
          <t>https://irishfamilysurnames.com/wp-content/uploads/2021/04/devine-B-H.jpg</t>
        </is>
      </c>
    </row>
    <row r="87" ht="75" customHeight="1">
      <c r="A87" s="3" t="inlineStr">
        <is>
          <t>Devlin</t>
        </is>
      </c>
      <c r="B87" s="3" t="inlineStr">
        <is>
          <t>devlin</t>
        </is>
      </c>
      <c r="C87" s="4" t="inlineStr">
        <is>
          <t>https://irishfamilysurnames.com/product/devlin/</t>
        </is>
      </c>
      <c r="D87" s="3">
        <f>IMAGE("https://irishfamilysurnames.com/wp-content/uploads/2021/04/devlin-B-H.jpg")</f>
        <v/>
      </c>
      <c r="E87" s="4" t="inlineStr">
        <is>
          <t>https://irishfamilysurnames.com/wp-content/uploads/2021/04/devlin-B-H.jpg</t>
        </is>
      </c>
    </row>
    <row r="88" ht="75" customHeight="1">
      <c r="A88" s="3" t="inlineStr">
        <is>
          <t>Dillon</t>
        </is>
      </c>
      <c r="B88" s="3" t="inlineStr">
        <is>
          <t>dillon</t>
        </is>
      </c>
      <c r="C88" s="4" t="inlineStr">
        <is>
          <t>https://irishfamilysurnames.com/product/dillon/</t>
        </is>
      </c>
      <c r="D88" s="3">
        <f>IMAGE("https://irishfamilysurnames.com/wp-content/uploads/2021/04/dillon-B-H.jpg")</f>
        <v/>
      </c>
      <c r="E88" s="4" t="inlineStr">
        <is>
          <t>https://irishfamilysurnames.com/wp-content/uploads/2021/04/dillon-B-H.jpg</t>
        </is>
      </c>
    </row>
    <row r="89" ht="75" customHeight="1">
      <c r="A89" s="3" t="inlineStr">
        <is>
          <t>Doherty</t>
        </is>
      </c>
      <c r="B89" s="3" t="inlineStr">
        <is>
          <t>doherty</t>
        </is>
      </c>
      <c r="C89" s="4" t="inlineStr">
        <is>
          <t>https://irishfamilysurnames.com/product/doherty/</t>
        </is>
      </c>
      <c r="D89" s="3">
        <f>IMAGE("https://irishfamilysurnames.com/wp-content/uploads/2021/04/doherty-B-H.jpg")</f>
        <v/>
      </c>
      <c r="E89" s="4" t="inlineStr">
        <is>
          <t>https://irishfamilysurnames.com/wp-content/uploads/2021/04/doherty-B-H.jpg</t>
        </is>
      </c>
    </row>
    <row r="90" ht="75" customHeight="1">
      <c r="A90" s="3" t="inlineStr">
        <is>
          <t>Dolan</t>
        </is>
      </c>
      <c r="B90" s="3" t="inlineStr">
        <is>
          <t>dolan</t>
        </is>
      </c>
      <c r="C90" s="4" t="inlineStr">
        <is>
          <t>https://irishfamilysurnames.com/product/dolan/</t>
        </is>
      </c>
      <c r="D90" s="3">
        <f>IMAGE("https://irishfamilysurnames.com/wp-content/uploads/2021/04/dolan-B-H.jpg")</f>
        <v/>
      </c>
      <c r="E90" s="4" t="inlineStr">
        <is>
          <t>https://irishfamilysurnames.com/wp-content/uploads/2021/04/dolan-B-H.jpg</t>
        </is>
      </c>
    </row>
    <row r="91" ht="75" customHeight="1">
      <c r="A91" s="3" t="inlineStr">
        <is>
          <t>Donlon</t>
        </is>
      </c>
      <c r="B91" s="3" t="inlineStr">
        <is>
          <t>donlon</t>
        </is>
      </c>
      <c r="C91" s="4" t="inlineStr">
        <is>
          <t>https://irishfamilysurnames.com/product/donlon/</t>
        </is>
      </c>
      <c r="D91" s="3">
        <f>IMAGE("https://irishfamilysurnames.com/wp-content/uploads/2021/04/donlon-B-H.jpg")</f>
        <v/>
      </c>
      <c r="E91" s="4" t="inlineStr">
        <is>
          <t>https://irishfamilysurnames.com/wp-content/uploads/2021/04/donlon-B-H.jpg</t>
        </is>
      </c>
    </row>
    <row r="92" ht="75" customHeight="1">
      <c r="A92" s="3" t="inlineStr">
        <is>
          <t>Donnelan</t>
        </is>
      </c>
      <c r="B92" s="3" t="inlineStr">
        <is>
          <t>donnelan</t>
        </is>
      </c>
      <c r="C92" s="4" t="inlineStr">
        <is>
          <t>https://irishfamilysurnames.com/product/donnelan/</t>
        </is>
      </c>
      <c r="D92" s="3">
        <f>IMAGE("https://irishfamilysurnames.com/wp-content/uploads/2021/04/donnelan-B-H.jpg")</f>
        <v/>
      </c>
      <c r="E92" s="4" t="inlineStr">
        <is>
          <t>https://irishfamilysurnames.com/wp-content/uploads/2021/04/donnelan-B-H.jpg</t>
        </is>
      </c>
    </row>
    <row r="93" ht="75" customHeight="1">
      <c r="A93" s="3" t="inlineStr">
        <is>
          <t>Donnell</t>
        </is>
      </c>
      <c r="B93" s="3" t="inlineStr">
        <is>
          <t>donnell</t>
        </is>
      </c>
      <c r="C93" s="4" t="inlineStr">
        <is>
          <t>https://irishfamilysurnames.com/product/donnell/</t>
        </is>
      </c>
      <c r="D93" s="3">
        <f>IMAGE("https://irishfamilysurnames.com/wp-content/uploads/2021/04/donnell-B-H.jpg")</f>
        <v/>
      </c>
      <c r="E93" s="4" t="inlineStr">
        <is>
          <t>https://irishfamilysurnames.com/wp-content/uploads/2021/04/donnell-B-H.jpg</t>
        </is>
      </c>
    </row>
    <row r="94" ht="75" customHeight="1">
      <c r="A94" s="3" t="inlineStr">
        <is>
          <t>Donnelly</t>
        </is>
      </c>
      <c r="B94" s="3" t="inlineStr">
        <is>
          <t>donnelly</t>
        </is>
      </c>
      <c r="C94" s="4" t="inlineStr">
        <is>
          <t>https://irishfamilysurnames.com/product/donnelly/</t>
        </is>
      </c>
      <c r="D94" s="3">
        <f>IMAGE("https://irishfamilysurnames.com/wp-content/uploads/2021/04/donnelly-B-H.jpg")</f>
        <v/>
      </c>
      <c r="E94" s="4" t="inlineStr">
        <is>
          <t>https://irishfamilysurnames.com/wp-content/uploads/2021/04/donnelly-B-H.jpg</t>
        </is>
      </c>
    </row>
    <row r="95" ht="75" customHeight="1">
      <c r="A95" s="3" t="inlineStr">
        <is>
          <t>Donoghoe</t>
        </is>
      </c>
      <c r="B95" s="3" t="inlineStr">
        <is>
          <t>donoghoe</t>
        </is>
      </c>
      <c r="C95" s="4" t="inlineStr">
        <is>
          <t>https://irishfamilysurnames.com/product/donoghoe/</t>
        </is>
      </c>
      <c r="D95" s="3">
        <f>IMAGE("https://irishfamilysurnames.com/wp-content/uploads/2021/04/donoghoe-B-H.jpg")</f>
        <v/>
      </c>
      <c r="E95" s="4" t="inlineStr">
        <is>
          <t>https://irishfamilysurnames.com/wp-content/uploads/2021/04/donoghoe-B-H.jpg</t>
        </is>
      </c>
    </row>
    <row r="96" ht="75" customHeight="1">
      <c r="A96" s="3" t="inlineStr">
        <is>
          <t>Donoghue</t>
        </is>
      </c>
      <c r="B96" s="3" t="inlineStr">
        <is>
          <t>donoghue</t>
        </is>
      </c>
      <c r="C96" s="4" t="inlineStr">
        <is>
          <t>https://irishfamilysurnames.com/product/donoghue/</t>
        </is>
      </c>
      <c r="D96" s="3">
        <f>IMAGE("https://irishfamilysurnames.com/wp-content/uploads/2021/04/donoghue-B-H.jpg")</f>
        <v/>
      </c>
      <c r="E96" s="4" t="inlineStr">
        <is>
          <t>https://irishfamilysurnames.com/wp-content/uploads/2021/04/donoghue-B-H.jpg</t>
        </is>
      </c>
    </row>
    <row r="97" ht="75" customHeight="1">
      <c r="A97" s="3" t="inlineStr">
        <is>
          <t>Donohoe</t>
        </is>
      </c>
      <c r="B97" s="3" t="inlineStr">
        <is>
          <t>donohoe</t>
        </is>
      </c>
      <c r="C97" s="4" t="inlineStr">
        <is>
          <t>https://irishfamilysurnames.com/product/donohoe/</t>
        </is>
      </c>
      <c r="D97" s="3">
        <f>IMAGE("https://irishfamilysurnames.com/wp-content/uploads/2021/04/donohoe-B-H.jpg")</f>
        <v/>
      </c>
      <c r="E97" s="4" t="inlineStr">
        <is>
          <t>https://irishfamilysurnames.com/wp-content/uploads/2021/04/donohoe-B-H.jpg</t>
        </is>
      </c>
    </row>
    <row r="98" ht="75" customHeight="1">
      <c r="A98" s="3" t="inlineStr">
        <is>
          <t>Donovan</t>
        </is>
      </c>
      <c r="B98" s="3" t="inlineStr">
        <is>
          <t>donovan</t>
        </is>
      </c>
      <c r="C98" s="4" t="inlineStr">
        <is>
          <t>https://irishfamilysurnames.com/product/donovan/</t>
        </is>
      </c>
      <c r="D98" s="3">
        <f>IMAGE("https://irishfamilysurnames.com/wp-content/uploads/2021/04/donovan-B-H.jpg")</f>
        <v/>
      </c>
      <c r="E98" s="4" t="inlineStr">
        <is>
          <t>https://irishfamilysurnames.com/wp-content/uploads/2021/04/donovan-B-H.jpg</t>
        </is>
      </c>
    </row>
    <row r="99" ht="75" customHeight="1">
      <c r="A99" s="3" t="inlineStr">
        <is>
          <t>Dooley</t>
        </is>
      </c>
      <c r="B99" s="3" t="inlineStr">
        <is>
          <t>dooley</t>
        </is>
      </c>
      <c r="C99" s="4" t="inlineStr">
        <is>
          <t>https://irishfamilysurnames.com/product/dooley/</t>
        </is>
      </c>
      <c r="D99" s="3">
        <f>IMAGE("https://irishfamilysurnames.com/wp-content/uploads/2021/04/dooley-B-H.jpg")</f>
        <v/>
      </c>
      <c r="E99" s="4" t="inlineStr">
        <is>
          <t>https://irishfamilysurnames.com/wp-content/uploads/2021/04/dooley-B-H.jpg</t>
        </is>
      </c>
    </row>
    <row r="100" ht="75" customHeight="1">
      <c r="A100" s="3" t="inlineStr">
        <is>
          <t>Doran</t>
        </is>
      </c>
      <c r="B100" s="3" t="inlineStr">
        <is>
          <t>doran</t>
        </is>
      </c>
      <c r="C100" s="4" t="inlineStr">
        <is>
          <t>https://irishfamilysurnames.com/product/doran/</t>
        </is>
      </c>
      <c r="D100" s="3">
        <f>IMAGE("https://irishfamilysurnames.com/wp-content/uploads/2021/04/doran-B-H.jpg")</f>
        <v/>
      </c>
      <c r="E100" s="4" t="inlineStr">
        <is>
          <t>https://irishfamilysurnames.com/wp-content/uploads/2021/04/doran-B-H.jpg</t>
        </is>
      </c>
    </row>
    <row r="101" ht="75" customHeight="1">
      <c r="A101" s="3" t="inlineStr">
        <is>
          <t>Dougherty</t>
        </is>
      </c>
      <c r="B101" s="3" t="inlineStr">
        <is>
          <t>dougherty</t>
        </is>
      </c>
      <c r="C101" s="4" t="inlineStr">
        <is>
          <t>https://irishfamilysurnames.com/product/dougherty/</t>
        </is>
      </c>
      <c r="D101" s="3">
        <f>IMAGE("https://irishfamilysurnames.com/wp-content/uploads/2021/04/dougherty-B-H.jpg")</f>
        <v/>
      </c>
      <c r="E101" s="4" t="inlineStr">
        <is>
          <t>https://irishfamilysurnames.com/wp-content/uploads/2021/04/dougherty-B-H.jpg</t>
        </is>
      </c>
    </row>
    <row r="102" ht="75" customHeight="1">
      <c r="A102" s="3" t="inlineStr">
        <is>
          <t>Dowling</t>
        </is>
      </c>
      <c r="B102" s="3" t="inlineStr">
        <is>
          <t>dowling</t>
        </is>
      </c>
      <c r="C102" s="4" t="inlineStr">
        <is>
          <t>https://irishfamilysurnames.com/product/dowling/</t>
        </is>
      </c>
      <c r="D102" s="3">
        <f>IMAGE("https://irishfamilysurnames.com/wp-content/uploads/2021/04/dowling-B-H.jpg")</f>
        <v/>
      </c>
      <c r="E102" s="4" t="inlineStr">
        <is>
          <t>https://irishfamilysurnames.com/wp-content/uploads/2021/04/dowling-B-H.jpg</t>
        </is>
      </c>
    </row>
    <row r="103" ht="75" customHeight="1">
      <c r="A103" s="3" t="inlineStr">
        <is>
          <t>Downey</t>
        </is>
      </c>
      <c r="B103" s="3" t="inlineStr">
        <is>
          <t>downey</t>
        </is>
      </c>
      <c r="C103" s="4" t="inlineStr">
        <is>
          <t>https://irishfamilysurnames.com/product/downey/</t>
        </is>
      </c>
      <c r="D103" s="3">
        <f>IMAGE("https://irishfamilysurnames.com/wp-content/uploads/2021/04/downey-B-H.jpg")</f>
        <v/>
      </c>
      <c r="E103" s="4" t="inlineStr">
        <is>
          <t>https://irishfamilysurnames.com/wp-content/uploads/2021/04/downey-B-H.jpg</t>
        </is>
      </c>
    </row>
    <row r="104" ht="75" customHeight="1">
      <c r="A104" s="3" t="inlineStr">
        <is>
          <t>Doyle</t>
        </is>
      </c>
      <c r="B104" s="3" t="inlineStr">
        <is>
          <t>doyle</t>
        </is>
      </c>
      <c r="C104" s="4" t="inlineStr">
        <is>
          <t>https://irishfamilysurnames.com/product/doyle/</t>
        </is>
      </c>
      <c r="D104" s="3">
        <f>IMAGE("https://irishfamilysurnames.com/wp-content/uploads/2021/04/doyle-B-H.jpg")</f>
        <v/>
      </c>
      <c r="E104" s="4" t="inlineStr">
        <is>
          <t>https://irishfamilysurnames.com/wp-content/uploads/2021/04/doyle-B-H.jpg</t>
        </is>
      </c>
    </row>
    <row r="105" ht="75" customHeight="1">
      <c r="A105" s="3" t="inlineStr">
        <is>
          <t>Driscoll</t>
        </is>
      </c>
      <c r="B105" s="3" t="inlineStr">
        <is>
          <t>driscoll</t>
        </is>
      </c>
      <c r="C105" s="4" t="inlineStr">
        <is>
          <t>https://irishfamilysurnames.com/product/driscoll/</t>
        </is>
      </c>
      <c r="D105" s="3">
        <f>IMAGE("https://irishfamilysurnames.com/wp-content/uploads/2021/04/driscoll-B-H.jpg")</f>
        <v/>
      </c>
      <c r="E105" s="4" t="inlineStr">
        <is>
          <t>https://irishfamilysurnames.com/wp-content/uploads/2021/04/driscoll-B-H.jpg</t>
        </is>
      </c>
    </row>
    <row r="106" ht="75" customHeight="1">
      <c r="A106" s="3" t="inlineStr">
        <is>
          <t>Duffy</t>
        </is>
      </c>
      <c r="B106" s="3" t="inlineStr">
        <is>
          <t>duffy</t>
        </is>
      </c>
      <c r="C106" s="4" t="inlineStr">
        <is>
          <t>https://irishfamilysurnames.com/product/duffy/</t>
        </is>
      </c>
      <c r="D106" s="3">
        <f>IMAGE("https://irishfamilysurnames.com/wp-content/uploads/2021/04/duffy-B-H.jpg")</f>
        <v/>
      </c>
      <c r="E106" s="4" t="inlineStr">
        <is>
          <t>https://irishfamilysurnames.com/wp-content/uploads/2021/04/duffy-B-H.jpg</t>
        </is>
      </c>
    </row>
    <row r="107" ht="75" customHeight="1">
      <c r="A107" s="3" t="inlineStr">
        <is>
          <t>Dugan</t>
        </is>
      </c>
      <c r="B107" s="3" t="inlineStr">
        <is>
          <t>dugan</t>
        </is>
      </c>
      <c r="C107" s="4" t="inlineStr">
        <is>
          <t>https://irishfamilysurnames.com/product/dugan/</t>
        </is>
      </c>
      <c r="D107" s="3">
        <f>IMAGE("https://irishfamilysurnames.com/wp-content/uploads/2021/04/dugan-B-H.jpg")</f>
        <v/>
      </c>
      <c r="E107" s="4" t="inlineStr">
        <is>
          <t>https://irishfamilysurnames.com/wp-content/uploads/2021/04/dugan-B-H.jpg</t>
        </is>
      </c>
    </row>
    <row r="108" ht="75" customHeight="1">
      <c r="A108" s="3" t="inlineStr">
        <is>
          <t>Duggan</t>
        </is>
      </c>
      <c r="B108" s="3" t="inlineStr">
        <is>
          <t>duggan</t>
        </is>
      </c>
      <c r="C108" s="4" t="inlineStr">
        <is>
          <t>https://irishfamilysurnames.com/product/duggan/</t>
        </is>
      </c>
      <c r="D108" s="3">
        <f>IMAGE("https://irishfamilysurnames.com/wp-content/uploads/2021/04/duggan-B-H.jpg")</f>
        <v/>
      </c>
      <c r="E108" s="4" t="inlineStr">
        <is>
          <t>https://irishfamilysurnames.com/wp-content/uploads/2021/04/duggan-B-H.jpg</t>
        </is>
      </c>
    </row>
    <row r="109" ht="75" customHeight="1">
      <c r="A109" s="3" t="inlineStr">
        <is>
          <t>Dunn</t>
        </is>
      </c>
      <c r="B109" s="3" t="inlineStr">
        <is>
          <t>dunn</t>
        </is>
      </c>
      <c r="C109" s="4" t="inlineStr">
        <is>
          <t>https://irishfamilysurnames.com/product/dunn/</t>
        </is>
      </c>
      <c r="D109" s="3">
        <f>IMAGE("https://irishfamilysurnames.com/wp-content/uploads/2021/04/dunn-B-H.jpg")</f>
        <v/>
      </c>
      <c r="E109" s="4" t="inlineStr">
        <is>
          <t>https://irishfamilysurnames.com/wp-content/uploads/2021/04/dunn-B-H.jpg</t>
        </is>
      </c>
    </row>
    <row r="110" ht="75" customHeight="1">
      <c r="A110" s="3" t="inlineStr">
        <is>
          <t>Dunne</t>
        </is>
      </c>
      <c r="B110" s="3" t="inlineStr">
        <is>
          <t>dunne</t>
        </is>
      </c>
      <c r="C110" s="4" t="inlineStr">
        <is>
          <t>https://irishfamilysurnames.com/product/dunne/</t>
        </is>
      </c>
      <c r="D110" s="3">
        <f>IMAGE("https://irishfamilysurnames.com/wp-content/uploads/2021/04/dunne-B-H.jpg")</f>
        <v/>
      </c>
      <c r="E110" s="4" t="inlineStr">
        <is>
          <t>https://irishfamilysurnames.com/wp-content/uploads/2021/04/dunne-B-H.jpg</t>
        </is>
      </c>
    </row>
    <row r="111" ht="75" customHeight="1">
      <c r="A111" s="3" t="inlineStr">
        <is>
          <t>Dwyer</t>
        </is>
      </c>
      <c r="B111" s="3" t="inlineStr">
        <is>
          <t>dwyer</t>
        </is>
      </c>
      <c r="C111" s="4" t="inlineStr">
        <is>
          <t>https://irishfamilysurnames.com/product/dwyer/</t>
        </is>
      </c>
      <c r="D111" s="3">
        <f>IMAGE("https://irishfamilysurnames.com/wp-content/uploads/2021/04/dwyer-B-H.jpg")</f>
        <v/>
      </c>
      <c r="E111" s="4" t="inlineStr">
        <is>
          <t>https://irishfamilysurnames.com/wp-content/uploads/2021/04/dwyer-B-H.jpg</t>
        </is>
      </c>
    </row>
    <row r="112" ht="75" customHeight="1">
      <c r="A112" s="3" t="inlineStr">
        <is>
          <t>Egan</t>
        </is>
      </c>
      <c r="B112" s="3" t="inlineStr">
        <is>
          <t>egan</t>
        </is>
      </c>
      <c r="C112" s="4" t="inlineStr">
        <is>
          <t>https://irishfamilysurnames.com/product/egan/</t>
        </is>
      </c>
      <c r="D112" s="3">
        <f>IMAGE("https://irishfamilysurnames.com/wp-content/uploads/2021/04/egan-B-H.jpg")</f>
        <v/>
      </c>
      <c r="E112" s="4" t="inlineStr">
        <is>
          <t>https://irishfamilysurnames.com/wp-content/uploads/2021/04/egan-B-H.jpg</t>
        </is>
      </c>
    </row>
    <row r="113" ht="75" customHeight="1">
      <c r="A113" s="3" t="inlineStr">
        <is>
          <t>Evans</t>
        </is>
      </c>
      <c r="B113" s="3" t="inlineStr">
        <is>
          <t>evans</t>
        </is>
      </c>
      <c r="C113" s="4" t="inlineStr">
        <is>
          <t>https://irishfamilysurnames.com/product/evans/</t>
        </is>
      </c>
      <c r="D113" s="3">
        <f>IMAGE("https://irishfamilysurnames.com/wp-content/uploads/2021/04/evans-B-H-1.jpg")</f>
        <v/>
      </c>
      <c r="E113" s="4" t="inlineStr">
        <is>
          <t>https://irishfamilysurnames.com/wp-content/uploads/2021/04/evans-B-H-1.jpg</t>
        </is>
      </c>
    </row>
    <row r="114" ht="75" customHeight="1">
      <c r="A114" s="3" t="inlineStr">
        <is>
          <t>Fagan</t>
        </is>
      </c>
      <c r="B114" s="3" t="inlineStr">
        <is>
          <t>fagan</t>
        </is>
      </c>
      <c r="C114" s="4" t="inlineStr">
        <is>
          <t>https://irishfamilysurnames.com/product/fagan/</t>
        </is>
      </c>
      <c r="D114" s="3">
        <f>IMAGE("https://irishfamilysurnames.com/wp-content/uploads/2021/04/fagan-B-H.jpg")</f>
        <v/>
      </c>
      <c r="E114" s="4" t="inlineStr">
        <is>
          <t>https://irishfamilysurnames.com/wp-content/uploads/2021/04/fagan-B-H.jpg</t>
        </is>
      </c>
    </row>
    <row r="115" ht="75" customHeight="1">
      <c r="A115" s="3" t="inlineStr">
        <is>
          <t>Fahy</t>
        </is>
      </c>
      <c r="B115" s="3" t="inlineStr">
        <is>
          <t>fahy</t>
        </is>
      </c>
      <c r="C115" s="4" t="inlineStr">
        <is>
          <t>https://irishfamilysurnames.com/product/fahy/</t>
        </is>
      </c>
      <c r="D115" s="3">
        <f>IMAGE("https://irishfamilysurnames.com/wp-content/uploads/2021/04/fahy-B-H.jpg")</f>
        <v/>
      </c>
      <c r="E115" s="4" t="inlineStr">
        <is>
          <t>https://irishfamilysurnames.com/wp-content/uploads/2021/04/fahy-B-H.jpg</t>
        </is>
      </c>
    </row>
    <row r="116" ht="75" customHeight="1">
      <c r="A116" s="3" t="inlineStr">
        <is>
          <t>Fallon</t>
        </is>
      </c>
      <c r="B116" s="3" t="inlineStr">
        <is>
          <t>fallon</t>
        </is>
      </c>
      <c r="C116" s="4" t="inlineStr">
        <is>
          <t>https://irishfamilysurnames.com/product/fallon/</t>
        </is>
      </c>
      <c r="D116" s="3">
        <f>IMAGE("https://irishfamilysurnames.com/wp-content/uploads/2021/04/fallon-B-H.jpg")</f>
        <v/>
      </c>
      <c r="E116" s="4" t="inlineStr">
        <is>
          <t>https://irishfamilysurnames.com/wp-content/uploads/2021/04/fallon-B-H.jpg</t>
        </is>
      </c>
    </row>
    <row r="117" ht="75" customHeight="1">
      <c r="A117" s="3" t="inlineStr">
        <is>
          <t>Farley</t>
        </is>
      </c>
      <c r="B117" s="3" t="inlineStr">
        <is>
          <t>farley</t>
        </is>
      </c>
      <c r="C117" s="4" t="inlineStr">
        <is>
          <t>https://irishfamilysurnames.com/product/farley/</t>
        </is>
      </c>
      <c r="D117" s="3">
        <f>IMAGE("https://irishfamilysurnames.com/wp-content/uploads/2021/04/farley-B-H.jpg")</f>
        <v/>
      </c>
      <c r="E117" s="4" t="inlineStr">
        <is>
          <t>https://irishfamilysurnames.com/wp-content/uploads/2021/04/farley-B-H.jpg</t>
        </is>
      </c>
    </row>
    <row r="118" ht="75" customHeight="1">
      <c r="A118" s="3" t="inlineStr">
        <is>
          <t>Farrell</t>
        </is>
      </c>
      <c r="B118" s="3" t="inlineStr">
        <is>
          <t>farrell</t>
        </is>
      </c>
      <c r="C118" s="4" t="inlineStr">
        <is>
          <t>https://irishfamilysurnames.com/product/farrell/</t>
        </is>
      </c>
      <c r="D118" s="3">
        <f>IMAGE("https://irishfamilysurnames.com/wp-content/uploads/2021/04/farrell-B-H.jpg")</f>
        <v/>
      </c>
      <c r="E118" s="4" t="inlineStr">
        <is>
          <t>https://irishfamilysurnames.com/wp-content/uploads/2021/04/farrell-B-H.jpg</t>
        </is>
      </c>
    </row>
    <row r="119" ht="75" customHeight="1">
      <c r="A119" s="3" t="inlineStr">
        <is>
          <t>Farrelly</t>
        </is>
      </c>
      <c r="B119" s="3" t="inlineStr">
        <is>
          <t>farrelly</t>
        </is>
      </c>
      <c r="C119" s="4" t="inlineStr">
        <is>
          <t>https://irishfamilysurnames.com/product/farrelly/</t>
        </is>
      </c>
      <c r="D119" s="3">
        <f>IMAGE("https://irishfamilysurnames.com/wp-content/uploads/2021/04/farrelly-B-H.jpg")</f>
        <v/>
      </c>
      <c r="E119" s="4" t="inlineStr">
        <is>
          <t>https://irishfamilysurnames.com/wp-content/uploads/2021/04/farrelly-B-H.jpg</t>
        </is>
      </c>
    </row>
    <row r="120" ht="75" customHeight="1">
      <c r="A120" s="3" t="inlineStr">
        <is>
          <t>Finn</t>
        </is>
      </c>
      <c r="B120" s="3" t="inlineStr">
        <is>
          <t>finn</t>
        </is>
      </c>
      <c r="C120" s="4" t="inlineStr">
        <is>
          <t>https://irishfamilysurnames.com/product/finn/</t>
        </is>
      </c>
      <c r="D120" s="3">
        <f>IMAGE("https://irishfamilysurnames.com/wp-content/uploads/2021/04/finn-B-H.jpg")</f>
        <v/>
      </c>
      <c r="E120" s="4" t="inlineStr">
        <is>
          <t>https://irishfamilysurnames.com/wp-content/uploads/2021/04/finn-B-H.jpg</t>
        </is>
      </c>
    </row>
    <row r="121" ht="75" customHeight="1">
      <c r="A121" s="3" t="inlineStr">
        <is>
          <t>Finnegan</t>
        </is>
      </c>
      <c r="B121" s="3" t="inlineStr">
        <is>
          <t>finnegan</t>
        </is>
      </c>
      <c r="C121" s="4" t="inlineStr">
        <is>
          <t>https://irishfamilysurnames.com/product/finnegan/</t>
        </is>
      </c>
      <c r="D121" s="3">
        <f>IMAGE("https://irishfamilysurnames.com/wp-content/uploads/2021/04/finnegan-B-H.jpg")</f>
        <v/>
      </c>
      <c r="E121" s="4" t="inlineStr">
        <is>
          <t>https://irishfamilysurnames.com/wp-content/uploads/2021/04/finnegan-B-H.jpg</t>
        </is>
      </c>
    </row>
    <row r="122" ht="75" customHeight="1">
      <c r="A122" s="3" t="inlineStr">
        <is>
          <t>Fitzgerald</t>
        </is>
      </c>
      <c r="B122" s="3" t="inlineStr">
        <is>
          <t>fitzgerald</t>
        </is>
      </c>
      <c r="C122" s="4" t="inlineStr">
        <is>
          <t>https://irishfamilysurnames.com/product/fitzgerald/</t>
        </is>
      </c>
      <c r="D122" s="3">
        <f>IMAGE("https://irishfamilysurnames.com/wp-content/uploads/2021/04/fitzgerald-B-H.jpg")</f>
        <v/>
      </c>
      <c r="E122" s="4" t="inlineStr">
        <is>
          <t>https://irishfamilysurnames.com/wp-content/uploads/2021/04/fitzgerald-B-H.jpg</t>
        </is>
      </c>
    </row>
    <row r="123" ht="75" customHeight="1">
      <c r="A123" s="3" t="inlineStr">
        <is>
          <t>Fitzgibbon</t>
        </is>
      </c>
      <c r="B123" s="3" t="inlineStr">
        <is>
          <t>fitzgibbon</t>
        </is>
      </c>
      <c r="C123" s="4" t="inlineStr">
        <is>
          <t>https://irishfamilysurnames.com/product/fitzgibbon/</t>
        </is>
      </c>
      <c r="D123" s="3">
        <f>IMAGE("https://irishfamilysurnames.com/wp-content/uploads/2021/04/fitzgibbon-B-H.jpg")</f>
        <v/>
      </c>
      <c r="E123" s="4" t="inlineStr">
        <is>
          <t>https://irishfamilysurnames.com/wp-content/uploads/2021/04/fitzgibbon-B-H.jpg</t>
        </is>
      </c>
    </row>
    <row r="124" ht="75" customHeight="1">
      <c r="A124" s="3" t="inlineStr">
        <is>
          <t>Fitzpatrick</t>
        </is>
      </c>
      <c r="B124" s="3" t="inlineStr">
        <is>
          <t>fitzpatrick</t>
        </is>
      </c>
      <c r="C124" s="4" t="inlineStr">
        <is>
          <t>https://irishfamilysurnames.com/product/fitzpatrick/</t>
        </is>
      </c>
      <c r="D124" s="3">
        <f>IMAGE("https://irishfamilysurnames.com/wp-content/uploads/2021/04/fitzpatrick-B-H.jpg")</f>
        <v/>
      </c>
      <c r="E124" s="4" t="inlineStr">
        <is>
          <t>https://irishfamilysurnames.com/wp-content/uploads/2021/04/fitzpatrick-B-H.jpg</t>
        </is>
      </c>
    </row>
    <row r="125" ht="75" customHeight="1">
      <c r="A125" s="3" t="inlineStr">
        <is>
          <t>Fitzsimons</t>
        </is>
      </c>
      <c r="B125" s="3" t="inlineStr">
        <is>
          <t>fitzsimons</t>
        </is>
      </c>
      <c r="C125" s="4" t="inlineStr">
        <is>
          <t>https://irishfamilysurnames.com/product/fitzsimons/</t>
        </is>
      </c>
      <c r="D125" s="3">
        <f>IMAGE("https://irishfamilysurnames.com/wp-content/uploads/2021/04/fitzsimons-B-H.jpg")</f>
        <v/>
      </c>
      <c r="E125" s="4" t="inlineStr">
        <is>
          <t>https://irishfamilysurnames.com/wp-content/uploads/2021/04/fitzsimons-B-H.jpg</t>
        </is>
      </c>
    </row>
    <row r="126" ht="75" customHeight="1">
      <c r="A126" s="3" t="inlineStr">
        <is>
          <t>Flaherty</t>
        </is>
      </c>
      <c r="B126" s="3" t="inlineStr">
        <is>
          <t>flaherty</t>
        </is>
      </c>
      <c r="C126" s="4" t="inlineStr">
        <is>
          <t>https://irishfamilysurnames.com/product/flaherty/</t>
        </is>
      </c>
      <c r="D126" s="3">
        <f>IMAGE("https://irishfamilysurnames.com/wp-content/uploads/2021/04/flaherty-B-H.jpg")</f>
        <v/>
      </c>
      <c r="E126" s="4" t="inlineStr">
        <is>
          <t>https://irishfamilysurnames.com/wp-content/uploads/2021/04/flaherty-B-H.jpg</t>
        </is>
      </c>
    </row>
    <row r="127" ht="75" customHeight="1">
      <c r="A127" s="3" t="inlineStr">
        <is>
          <t>Flanagan</t>
        </is>
      </c>
      <c r="B127" s="3" t="inlineStr">
        <is>
          <t>flanagan</t>
        </is>
      </c>
      <c r="C127" s="4" t="inlineStr">
        <is>
          <t>https://irishfamilysurnames.com/product/flanagan/</t>
        </is>
      </c>
      <c r="D127" s="3">
        <f>IMAGE("https://irishfamilysurnames.com/wp-content/uploads/2021/04/flanagan-B-H.jpg")</f>
        <v/>
      </c>
      <c r="E127" s="4" t="inlineStr">
        <is>
          <t>https://irishfamilysurnames.com/wp-content/uploads/2021/04/flanagan-B-H.jpg</t>
        </is>
      </c>
    </row>
    <row r="128" ht="75" customHeight="1">
      <c r="A128" s="3" t="inlineStr">
        <is>
          <t>Fleming</t>
        </is>
      </c>
      <c r="B128" s="3" t="inlineStr">
        <is>
          <t>fleming</t>
        </is>
      </c>
      <c r="C128" s="4" t="inlineStr">
        <is>
          <t>https://irishfamilysurnames.com/product/fleming/</t>
        </is>
      </c>
      <c r="D128" s="3">
        <f>IMAGE("https://irishfamilysurnames.com/wp-content/uploads/2021/04/fleming-B-H.jpg")</f>
        <v/>
      </c>
      <c r="E128" s="4" t="inlineStr">
        <is>
          <t>https://irishfamilysurnames.com/wp-content/uploads/2021/04/fleming-B-H.jpg</t>
        </is>
      </c>
    </row>
    <row r="129" ht="75" customHeight="1">
      <c r="A129" s="3" t="inlineStr">
        <is>
          <t>Flood</t>
        </is>
      </c>
      <c r="B129" s="3" t="inlineStr">
        <is>
          <t>flood</t>
        </is>
      </c>
      <c r="C129" s="4" t="inlineStr">
        <is>
          <t>https://irishfamilysurnames.com/product/flood/</t>
        </is>
      </c>
      <c r="D129" s="3">
        <f>IMAGE("https://irishfamilysurnames.com/wp-content/uploads/2021/04/flood-B-H.jpg")</f>
        <v/>
      </c>
      <c r="E129" s="4" t="inlineStr">
        <is>
          <t>https://irishfamilysurnames.com/wp-content/uploads/2021/04/flood-B-H.jpg</t>
        </is>
      </c>
    </row>
    <row r="130" ht="75" customHeight="1">
      <c r="A130" s="3" t="inlineStr">
        <is>
          <t>Flynn</t>
        </is>
      </c>
      <c r="B130" s="3" t="inlineStr">
        <is>
          <t>flynn</t>
        </is>
      </c>
      <c r="C130" s="4" t="inlineStr">
        <is>
          <t>https://irishfamilysurnames.com/product/flynn/</t>
        </is>
      </c>
      <c r="D130" s="3">
        <f>IMAGE("https://irishfamilysurnames.com/wp-content/uploads/2021/04/flynn-B-H.jpg")</f>
        <v/>
      </c>
      <c r="E130" s="4" t="inlineStr">
        <is>
          <t>https://irishfamilysurnames.com/wp-content/uploads/2021/04/flynn-B-H.jpg</t>
        </is>
      </c>
    </row>
    <row r="131" ht="75" customHeight="1">
      <c r="A131" s="3" t="inlineStr">
        <is>
          <t>Fogarty</t>
        </is>
      </c>
      <c r="B131" s="3" t="inlineStr">
        <is>
          <t>fogarty</t>
        </is>
      </c>
      <c r="C131" s="4" t="inlineStr">
        <is>
          <t>https://irishfamilysurnames.com/product/fogarty/</t>
        </is>
      </c>
      <c r="D131" s="3">
        <f>IMAGE("https://irishfamilysurnames.com/wp-content/uploads/2021/04/fogarty-B-H.jpg")</f>
        <v/>
      </c>
      <c r="E131" s="4" t="inlineStr">
        <is>
          <t>https://irishfamilysurnames.com/wp-content/uploads/2021/04/fogarty-B-H.jpg</t>
        </is>
      </c>
    </row>
    <row r="132" ht="75" customHeight="1">
      <c r="A132" s="3" t="inlineStr">
        <is>
          <t>Foley</t>
        </is>
      </c>
      <c r="B132" s="3" t="inlineStr">
        <is>
          <t>foley</t>
        </is>
      </c>
      <c r="C132" s="4" t="inlineStr">
        <is>
          <t>https://irishfamilysurnames.com/product/foley/</t>
        </is>
      </c>
      <c r="D132" s="3">
        <f>IMAGE("https://irishfamilysurnames.com/wp-content/uploads/2021/04/foley-B-H.jpg")</f>
        <v/>
      </c>
      <c r="E132" s="4" t="inlineStr">
        <is>
          <t>https://irishfamilysurnames.com/wp-content/uploads/2021/04/foley-B-H.jpg</t>
        </is>
      </c>
    </row>
    <row r="133" ht="75" customHeight="1">
      <c r="A133" s="3" t="inlineStr">
        <is>
          <t>Fox</t>
        </is>
      </c>
      <c r="B133" s="3" t="inlineStr">
        <is>
          <t>fox</t>
        </is>
      </c>
      <c r="C133" s="4" t="inlineStr">
        <is>
          <t>https://irishfamilysurnames.com/product/fox/</t>
        </is>
      </c>
      <c r="D133" s="3">
        <f>IMAGE("https://irishfamilysurnames.com/wp-content/uploads/2021/04/fox-B-H.jpg")</f>
        <v/>
      </c>
      <c r="E133" s="4" t="inlineStr">
        <is>
          <t>https://irishfamilysurnames.com/wp-content/uploads/2021/04/fox-B-H.jpg</t>
        </is>
      </c>
    </row>
    <row r="134" ht="75" customHeight="1">
      <c r="A134" s="3" t="inlineStr">
        <is>
          <t>French</t>
        </is>
      </c>
      <c r="B134" s="3" t="inlineStr">
        <is>
          <t>french</t>
        </is>
      </c>
      <c r="C134" s="4" t="inlineStr">
        <is>
          <t>https://irishfamilysurnames.com/product/french/</t>
        </is>
      </c>
      <c r="D134" s="3">
        <f>IMAGE("https://irishfamilysurnames.com/wp-content/uploads/2021/04/french-B-H.jpg")</f>
        <v/>
      </c>
      <c r="E134" s="4" t="inlineStr">
        <is>
          <t>https://irishfamilysurnames.com/wp-content/uploads/2021/04/french-B-H.jpg</t>
        </is>
      </c>
    </row>
    <row r="135" ht="75" customHeight="1">
      <c r="A135" s="3" t="inlineStr">
        <is>
          <t>Furlong</t>
        </is>
      </c>
      <c r="B135" s="3" t="inlineStr">
        <is>
          <t>furlong</t>
        </is>
      </c>
      <c r="C135" s="4" t="inlineStr">
        <is>
          <t>https://irishfamilysurnames.com/product/furlong/</t>
        </is>
      </c>
      <c r="D135" s="3">
        <f>IMAGE("https://irishfamilysurnames.com/wp-content/uploads/2021/04/furlong-B-H.jpg")</f>
        <v/>
      </c>
      <c r="E135" s="4" t="inlineStr">
        <is>
          <t>https://irishfamilysurnames.com/wp-content/uploads/2021/04/furlong-B-H.jpg</t>
        </is>
      </c>
    </row>
    <row r="136" ht="75" customHeight="1">
      <c r="A136" s="3" t="inlineStr">
        <is>
          <t>Gaffney</t>
        </is>
      </c>
      <c r="B136" s="3" t="inlineStr">
        <is>
          <t>gaffney</t>
        </is>
      </c>
      <c r="C136" s="4" t="inlineStr">
        <is>
          <t>https://irishfamilysurnames.com/product/gaffney/</t>
        </is>
      </c>
      <c r="D136" s="3">
        <f>IMAGE("https://irishfamilysurnames.com/wp-content/uploads/2021/04/gaffney-B-H.jpg")</f>
        <v/>
      </c>
      <c r="E136" s="4" t="inlineStr">
        <is>
          <t>https://irishfamilysurnames.com/wp-content/uploads/2021/04/gaffney-B-H.jpg</t>
        </is>
      </c>
    </row>
    <row r="137" ht="75" customHeight="1">
      <c r="A137" s="3" t="inlineStr">
        <is>
          <t>Gallagher</t>
        </is>
      </c>
      <c r="B137" s="3" t="inlineStr">
        <is>
          <t>gallagher</t>
        </is>
      </c>
      <c r="C137" s="4" t="inlineStr">
        <is>
          <t>https://irishfamilysurnames.com/product/gallagher/</t>
        </is>
      </c>
      <c r="D137" s="3">
        <f>IMAGE("https://irishfamilysurnames.com/wp-content/uploads/2021/04/gallagher-B-H.jpg")</f>
        <v/>
      </c>
      <c r="E137" s="4" t="inlineStr">
        <is>
          <t>https://irishfamilysurnames.com/wp-content/uploads/2021/04/gallagher-B-H.jpg</t>
        </is>
      </c>
    </row>
    <row r="138" ht="75" customHeight="1">
      <c r="A138" s="3" t="inlineStr">
        <is>
          <t>Galvin</t>
        </is>
      </c>
      <c r="B138" s="3" t="inlineStr">
        <is>
          <t>galvin</t>
        </is>
      </c>
      <c r="C138" s="4" t="inlineStr">
        <is>
          <t>https://irishfamilysurnames.com/product/galvin/</t>
        </is>
      </c>
      <c r="D138" s="3">
        <f>IMAGE("https://irishfamilysurnames.com/wp-content/uploads/2021/04/galvin-B-H.jpg")</f>
        <v/>
      </c>
      <c r="E138" s="4" t="inlineStr">
        <is>
          <t>https://irishfamilysurnames.com/wp-content/uploads/2021/04/galvin-B-H.jpg</t>
        </is>
      </c>
    </row>
    <row r="139" ht="75" customHeight="1">
      <c r="A139" s="3" t="inlineStr">
        <is>
          <t>Geoghegan</t>
        </is>
      </c>
      <c r="B139" s="3" t="inlineStr">
        <is>
          <t>geoghegan</t>
        </is>
      </c>
      <c r="C139" s="4" t="inlineStr">
        <is>
          <t>https://irishfamilysurnames.com/product/geoghegan/</t>
        </is>
      </c>
      <c r="D139" s="3">
        <f>IMAGE("https://irishfamilysurnames.com/wp-content/uploads/2021/04/geoghegan-B-H.jpg")</f>
        <v/>
      </c>
      <c r="E139" s="4" t="inlineStr">
        <is>
          <t>https://irishfamilysurnames.com/wp-content/uploads/2021/04/geoghegan-B-H.jpg</t>
        </is>
      </c>
    </row>
    <row r="140" ht="75" customHeight="1">
      <c r="A140" s="3" t="inlineStr">
        <is>
          <t>Geraghty</t>
        </is>
      </c>
      <c r="B140" s="3" t="inlineStr">
        <is>
          <t>geraghty</t>
        </is>
      </c>
      <c r="C140" s="4" t="inlineStr">
        <is>
          <t>https://irishfamilysurnames.com/product/geraghty/</t>
        </is>
      </c>
      <c r="D140" s="3">
        <f>IMAGE("https://irishfamilysurnames.com/wp-content/uploads/2021/04/geraghty-B-H.jpg")</f>
        <v/>
      </c>
      <c r="E140" s="4" t="inlineStr">
        <is>
          <t>https://irishfamilysurnames.com/wp-content/uploads/2021/04/geraghty-B-H.jpg</t>
        </is>
      </c>
    </row>
    <row r="141" ht="75" customHeight="1">
      <c r="A141" s="3" t="inlineStr">
        <is>
          <t>Gibbons</t>
        </is>
      </c>
      <c r="B141" s="3" t="inlineStr">
        <is>
          <t>gibbons</t>
        </is>
      </c>
      <c r="C141" s="4" t="inlineStr">
        <is>
          <t>https://irishfamilysurnames.com/product/gibbons/</t>
        </is>
      </c>
      <c r="D141" s="3">
        <f>IMAGE("https://irishfamilysurnames.com/wp-content/uploads/2021/04/gibbons-B-H.jpg")</f>
        <v/>
      </c>
      <c r="E141" s="4" t="inlineStr">
        <is>
          <t>https://irishfamilysurnames.com/wp-content/uploads/2021/04/gibbons-B-H.jpg</t>
        </is>
      </c>
    </row>
    <row r="142" ht="75" customHeight="1">
      <c r="A142" s="3" t="inlineStr">
        <is>
          <t>Gleason</t>
        </is>
      </c>
      <c r="B142" s="3" t="inlineStr">
        <is>
          <t>gleason</t>
        </is>
      </c>
      <c r="C142" s="4" t="inlineStr">
        <is>
          <t>https://irishfamilysurnames.com/product/gleason/</t>
        </is>
      </c>
      <c r="D142" s="3">
        <f>IMAGE("https://irishfamilysurnames.com/wp-content/uploads/2021/04/gleason-B-H.jpg")</f>
        <v/>
      </c>
      <c r="E142" s="4" t="inlineStr">
        <is>
          <t>https://irishfamilysurnames.com/wp-content/uploads/2021/04/gleason-B-H.jpg</t>
        </is>
      </c>
    </row>
    <row r="143" ht="75" customHeight="1">
      <c r="A143" s="3" t="inlineStr">
        <is>
          <t>Gleeson</t>
        </is>
      </c>
      <c r="B143" s="3" t="inlineStr">
        <is>
          <t>gleeson</t>
        </is>
      </c>
      <c r="C143" s="4" t="inlineStr">
        <is>
          <t>https://irishfamilysurnames.com/product/gleeson/</t>
        </is>
      </c>
      <c r="D143" s="3">
        <f>IMAGE("https://irishfamilysurnames.com/wp-content/uploads/2021/04/gleeson-B-H.jpg")</f>
        <v/>
      </c>
      <c r="E143" s="4" t="inlineStr">
        <is>
          <t>https://irishfamilysurnames.com/wp-content/uploads/2021/04/gleeson-B-H.jpg</t>
        </is>
      </c>
    </row>
    <row r="144" ht="75" customHeight="1">
      <c r="A144" s="3" t="inlineStr">
        <is>
          <t>Gorman</t>
        </is>
      </c>
      <c r="B144" s="3" t="inlineStr">
        <is>
          <t>gorman</t>
        </is>
      </c>
      <c r="C144" s="4" t="inlineStr">
        <is>
          <t>https://irishfamilysurnames.com/product/gorman/</t>
        </is>
      </c>
      <c r="D144" s="3">
        <f>IMAGE("https://irishfamilysurnames.com/wp-content/uploads/2021/04/gorman-B-H.jpg")</f>
        <v/>
      </c>
      <c r="E144" s="4" t="inlineStr">
        <is>
          <t>https://irishfamilysurnames.com/wp-content/uploads/2021/04/gorman-B-H.jpg</t>
        </is>
      </c>
    </row>
    <row r="145" ht="75" customHeight="1">
      <c r="A145" s="3" t="inlineStr">
        <is>
          <t>Grady</t>
        </is>
      </c>
      <c r="B145" s="3" t="inlineStr">
        <is>
          <t>grady</t>
        </is>
      </c>
      <c r="C145" s="4" t="inlineStr">
        <is>
          <t>https://irishfamilysurnames.com/product/grady/</t>
        </is>
      </c>
      <c r="D145" s="3">
        <f>IMAGE("https://irishfamilysurnames.com/wp-content/uploads/2021/04/grady-B-H.jpg")</f>
        <v/>
      </c>
      <c r="E145" s="4" t="inlineStr">
        <is>
          <t>https://irishfamilysurnames.com/wp-content/uploads/2021/04/grady-B-H.jpg</t>
        </is>
      </c>
    </row>
    <row r="146" ht="75" customHeight="1">
      <c r="A146" s="3" t="inlineStr">
        <is>
          <t>Graham</t>
        </is>
      </c>
      <c r="B146" s="3" t="inlineStr">
        <is>
          <t>graham</t>
        </is>
      </c>
      <c r="C146" s="4" t="inlineStr">
        <is>
          <t>https://irishfamilysurnames.com/product/graham/</t>
        </is>
      </c>
      <c r="D146" s="3">
        <f>IMAGE("https://irishfamilysurnames.com/wp-content/uploads/2021/04/graham-B-H.jpg")</f>
        <v/>
      </c>
      <c r="E146" s="4" t="inlineStr">
        <is>
          <t>https://irishfamilysurnames.com/wp-content/uploads/2021/04/graham-B-H.jpg</t>
        </is>
      </c>
    </row>
    <row r="147" ht="75" customHeight="1">
      <c r="A147" s="3" t="inlineStr">
        <is>
          <t>Green</t>
        </is>
      </c>
      <c r="B147" s="3" t="inlineStr">
        <is>
          <t>green</t>
        </is>
      </c>
      <c r="C147" s="4" t="inlineStr">
        <is>
          <t>https://irishfamilysurnames.com/product/green/</t>
        </is>
      </c>
      <c r="D147" s="3">
        <f>IMAGE("https://irishfamilysurnames.com/wp-content/uploads/2021/04/green-B-H.jpg")</f>
        <v/>
      </c>
      <c r="E147" s="4" t="inlineStr">
        <is>
          <t>https://irishfamilysurnames.com/wp-content/uploads/2021/04/green-B-H.jpg</t>
        </is>
      </c>
    </row>
    <row r="148" ht="75" customHeight="1">
      <c r="A148" s="3" t="inlineStr">
        <is>
          <t>Greene</t>
        </is>
      </c>
      <c r="B148" s="3" t="inlineStr">
        <is>
          <t>greene</t>
        </is>
      </c>
      <c r="C148" s="4" t="inlineStr">
        <is>
          <t>https://irishfamilysurnames.com/product/greene/</t>
        </is>
      </c>
      <c r="D148" s="3">
        <f>IMAGE("https://irishfamilysurnames.com/wp-content/uploads/2021/04/greene-B-H.jpg")</f>
        <v/>
      </c>
      <c r="E148" s="4" t="inlineStr">
        <is>
          <t>https://irishfamilysurnames.com/wp-content/uploads/2021/04/greene-B-H.jpg</t>
        </is>
      </c>
    </row>
    <row r="149" ht="75" customHeight="1">
      <c r="A149" s="3" t="inlineStr">
        <is>
          <t>Griffin</t>
        </is>
      </c>
      <c r="B149" s="3" t="inlineStr">
        <is>
          <t>griffin</t>
        </is>
      </c>
      <c r="C149" s="4" t="inlineStr">
        <is>
          <t>https://irishfamilysurnames.com/product/griffin/</t>
        </is>
      </c>
      <c r="D149" s="3">
        <f>IMAGE("https://irishfamilysurnames.com/wp-content/uploads/2021/04/griffin-B-H.jpg")</f>
        <v/>
      </c>
      <c r="E149" s="4" t="inlineStr">
        <is>
          <t>https://irishfamilysurnames.com/wp-content/uploads/2021/04/griffin-B-H.jpg</t>
        </is>
      </c>
    </row>
    <row r="150" ht="75" customHeight="1">
      <c r="A150" s="3" t="inlineStr">
        <is>
          <t>Griffith</t>
        </is>
      </c>
      <c r="B150" s="3" t="inlineStr">
        <is>
          <t>griffith</t>
        </is>
      </c>
      <c r="C150" s="4" t="inlineStr">
        <is>
          <t>https://irishfamilysurnames.com/product/griffith/</t>
        </is>
      </c>
      <c r="D150" s="3">
        <f>IMAGE("https://irishfamilysurnames.com/wp-content/uploads/2021/04/griffith-B-H.jpg")</f>
        <v/>
      </c>
      <c r="E150" s="4" t="inlineStr">
        <is>
          <t>https://irishfamilysurnames.com/wp-content/uploads/2021/04/griffith-B-H.jpg</t>
        </is>
      </c>
    </row>
    <row r="151" ht="75" customHeight="1">
      <c r="A151" s="3" t="inlineStr">
        <is>
          <t>Guinness</t>
        </is>
      </c>
      <c r="B151" s="3" t="inlineStr">
        <is>
          <t>guinness</t>
        </is>
      </c>
      <c r="C151" s="4" t="inlineStr">
        <is>
          <t>https://irishfamilysurnames.com/product/guinness/</t>
        </is>
      </c>
      <c r="D151" s="3">
        <f>IMAGE("https://irishfamilysurnames.com/wp-content/uploads/2021/04/guinness-B-H.jpg")</f>
        <v/>
      </c>
      <c r="E151" s="4" t="inlineStr">
        <is>
          <t>https://irishfamilysurnames.com/wp-content/uploads/2021/04/guinness-B-H.jpg</t>
        </is>
      </c>
    </row>
    <row r="152" ht="75" customHeight="1">
      <c r="A152" s="3" t="inlineStr">
        <is>
          <t>Hackett</t>
        </is>
      </c>
      <c r="B152" s="3" t="inlineStr">
        <is>
          <t>hackett</t>
        </is>
      </c>
      <c r="C152" s="4" t="inlineStr">
        <is>
          <t>https://irishfamilysurnames.com/product/hackett/</t>
        </is>
      </c>
      <c r="D152" s="3">
        <f>IMAGE("https://irishfamilysurnames.com/wp-content/uploads/2021/04/hackett-B-H.jpg")</f>
        <v/>
      </c>
      <c r="E152" s="4" t="inlineStr">
        <is>
          <t>https://irishfamilysurnames.com/wp-content/uploads/2021/04/hackett-B-H.jpg</t>
        </is>
      </c>
    </row>
    <row r="153" ht="75" customHeight="1">
      <c r="A153" s="3" t="inlineStr">
        <is>
          <t>Hagan</t>
        </is>
      </c>
      <c r="B153" s="3" t="inlineStr">
        <is>
          <t>hagan</t>
        </is>
      </c>
      <c r="C153" s="4" t="inlineStr">
        <is>
          <t>https://irishfamilysurnames.com/product/hagan/</t>
        </is>
      </c>
      <c r="D153" s="3">
        <f>IMAGE("https://irishfamilysurnames.com/wp-content/uploads/2021/04/hagan-B-H.jpg")</f>
        <v/>
      </c>
      <c r="E153" s="4" t="inlineStr">
        <is>
          <t>https://irishfamilysurnames.com/wp-content/uploads/2021/04/hagan-B-H.jpg</t>
        </is>
      </c>
    </row>
    <row r="154" ht="75" customHeight="1">
      <c r="A154" s="3" t="inlineStr">
        <is>
          <t>Hall</t>
        </is>
      </c>
      <c r="B154" s="3" t="inlineStr">
        <is>
          <t>hall</t>
        </is>
      </c>
      <c r="C154" s="4" t="inlineStr">
        <is>
          <t>https://irishfamilysurnames.com/product/hall/</t>
        </is>
      </c>
      <c r="D154" s="3">
        <f>IMAGE("https://irishfamilysurnames.com/wp-content/uploads/2021/04/hall-B-H.jpg")</f>
        <v/>
      </c>
      <c r="E154" s="4" t="inlineStr">
        <is>
          <t>https://irishfamilysurnames.com/wp-content/uploads/2021/04/hall-B-H.jpg</t>
        </is>
      </c>
    </row>
    <row r="155" ht="75" customHeight="1">
      <c r="A155" s="3" t="inlineStr">
        <is>
          <t>Halloran</t>
        </is>
      </c>
      <c r="B155" s="3" t="inlineStr">
        <is>
          <t>halloran</t>
        </is>
      </c>
      <c r="C155" s="4" t="inlineStr">
        <is>
          <t>https://irishfamilysurnames.com/product/halloran/</t>
        </is>
      </c>
      <c r="D155" s="3">
        <f>IMAGE("https://irishfamilysurnames.com/wp-content/uploads/2021/04/halloran-B-H.jpg")</f>
        <v/>
      </c>
      <c r="E155" s="4" t="inlineStr">
        <is>
          <t>https://irishfamilysurnames.com/wp-content/uploads/2021/04/halloran-B-H.jpg</t>
        </is>
      </c>
    </row>
    <row r="156" ht="75" customHeight="1">
      <c r="A156" s="3" t="inlineStr">
        <is>
          <t>Hanley</t>
        </is>
      </c>
      <c r="B156" s="3" t="inlineStr">
        <is>
          <t>hanley</t>
        </is>
      </c>
      <c r="C156" s="4" t="inlineStr">
        <is>
          <t>https://irishfamilysurnames.com/product/hanley/</t>
        </is>
      </c>
      <c r="D156" s="3">
        <f>IMAGE("https://irishfamilysurnames.com/wp-content/uploads/2021/04/hanley-B-H.jpg")</f>
        <v/>
      </c>
      <c r="E156" s="4" t="inlineStr">
        <is>
          <t>https://irishfamilysurnames.com/wp-content/uploads/2021/04/hanley-B-H.jpg</t>
        </is>
      </c>
    </row>
    <row r="157" ht="75" customHeight="1">
      <c r="A157" s="3" t="inlineStr">
        <is>
          <t>Hanlon</t>
        </is>
      </c>
      <c r="B157" s="3" t="inlineStr">
        <is>
          <t>hanlon</t>
        </is>
      </c>
      <c r="C157" s="4" t="inlineStr">
        <is>
          <t>https://irishfamilysurnames.com/product/hanlon/</t>
        </is>
      </c>
      <c r="D157" s="3">
        <f>IMAGE("https://irishfamilysurnames.com/wp-content/uploads/2021/04/hanlon-B-H.jpg")</f>
        <v/>
      </c>
      <c r="E157" s="4" t="inlineStr">
        <is>
          <t>https://irishfamilysurnames.com/wp-content/uploads/2021/04/hanlon-B-H.jpg</t>
        </is>
      </c>
    </row>
    <row r="158" ht="75" customHeight="1">
      <c r="A158" s="3" t="inlineStr">
        <is>
          <t>Hannon</t>
        </is>
      </c>
      <c r="B158" s="3" t="inlineStr">
        <is>
          <t>hannon</t>
        </is>
      </c>
      <c r="C158" s="4" t="inlineStr">
        <is>
          <t>https://irishfamilysurnames.com/product/hannon/</t>
        </is>
      </c>
      <c r="D158" s="3">
        <f>IMAGE("https://irishfamilysurnames.com/wp-content/uploads/2021/04/hannon-B-H.jpg")</f>
        <v/>
      </c>
      <c r="E158" s="4" t="inlineStr">
        <is>
          <t>https://irishfamilysurnames.com/wp-content/uploads/2021/04/hannon-B-H.jpg</t>
        </is>
      </c>
    </row>
    <row r="159" ht="75" customHeight="1">
      <c r="A159" s="3" t="inlineStr">
        <is>
          <t>Hara</t>
        </is>
      </c>
      <c r="B159" s="3" t="inlineStr">
        <is>
          <t>hara</t>
        </is>
      </c>
      <c r="C159" s="4" t="inlineStr">
        <is>
          <t>https://irishfamilysurnames.com/product/hara/</t>
        </is>
      </c>
      <c r="D159" s="3">
        <f>IMAGE("https://irishfamilysurnames.com/wp-content/uploads/2021/04/hara-B-H.jpg")</f>
        <v/>
      </c>
      <c r="E159" s="4" t="inlineStr">
        <is>
          <t>https://irishfamilysurnames.com/wp-content/uploads/2021/04/hara-B-H.jpg</t>
        </is>
      </c>
    </row>
    <row r="160" ht="75" customHeight="1">
      <c r="A160" s="3" t="inlineStr">
        <is>
          <t>Harrington</t>
        </is>
      </c>
      <c r="B160" s="3" t="inlineStr">
        <is>
          <t>harrington</t>
        </is>
      </c>
      <c r="C160" s="4" t="inlineStr">
        <is>
          <t>https://irishfamilysurnames.com/product/harrington/</t>
        </is>
      </c>
      <c r="D160" s="3">
        <f>IMAGE("https://irishfamilysurnames.com/wp-content/uploads/2021/04/harrington-B-H.jpg")</f>
        <v/>
      </c>
      <c r="E160" s="4" t="inlineStr">
        <is>
          <t>https://irishfamilysurnames.com/wp-content/uploads/2021/04/harrington-B-H.jpg</t>
        </is>
      </c>
    </row>
    <row r="161" ht="75" customHeight="1">
      <c r="A161" s="3" t="inlineStr">
        <is>
          <t>Harris</t>
        </is>
      </c>
      <c r="B161" s="3" t="inlineStr">
        <is>
          <t>harris</t>
        </is>
      </c>
      <c r="C161" s="4" t="inlineStr">
        <is>
          <t>https://irishfamilysurnames.com/product/harris/</t>
        </is>
      </c>
      <c r="D161" s="3">
        <f>IMAGE("https://irishfamilysurnames.com/wp-content/uploads/2021/04/harris-B-H.jpg")</f>
        <v/>
      </c>
      <c r="E161" s="4" t="inlineStr">
        <is>
          <t>https://irishfamilysurnames.com/wp-content/uploads/2021/04/harris-B-H.jpg</t>
        </is>
      </c>
    </row>
    <row r="162" ht="75" customHeight="1">
      <c r="A162" s="3" t="inlineStr">
        <is>
          <t>Harrison</t>
        </is>
      </c>
      <c r="B162" s="3" t="inlineStr">
        <is>
          <t>harrison</t>
        </is>
      </c>
      <c r="C162" s="4" t="inlineStr">
        <is>
          <t>https://irishfamilysurnames.com/product/harrison/</t>
        </is>
      </c>
      <c r="D162" s="3">
        <f>IMAGE("https://irishfamilysurnames.com/wp-content/uploads/2021/04/harrison-B-H.jpg")</f>
        <v/>
      </c>
      <c r="E162" s="4" t="inlineStr">
        <is>
          <t>https://irishfamilysurnames.com/wp-content/uploads/2021/04/harrison-B-H.jpg</t>
        </is>
      </c>
    </row>
    <row r="163" ht="75" customHeight="1">
      <c r="A163" s="3" t="inlineStr">
        <is>
          <t>Hart</t>
        </is>
      </c>
      <c r="B163" s="3" t="inlineStr">
        <is>
          <t>hart</t>
        </is>
      </c>
      <c r="C163" s="4" t="inlineStr">
        <is>
          <t>https://irishfamilysurnames.com/product/hart/</t>
        </is>
      </c>
      <c r="D163" s="3">
        <f>IMAGE("https://irishfamilysurnames.com/wp-content/uploads/2021/04/hart-B-H.jpg")</f>
        <v/>
      </c>
      <c r="E163" s="4" t="inlineStr">
        <is>
          <t>https://irishfamilysurnames.com/wp-content/uploads/2021/04/hart-B-H.jpg</t>
        </is>
      </c>
    </row>
    <row r="164" ht="75" customHeight="1">
      <c r="A164" s="3" t="inlineStr">
        <is>
          <t>Harte</t>
        </is>
      </c>
      <c r="B164" s="3" t="inlineStr">
        <is>
          <t>harte</t>
        </is>
      </c>
      <c r="C164" s="4" t="inlineStr">
        <is>
          <t>https://irishfamilysurnames.com/product/harte/</t>
        </is>
      </c>
      <c r="D164" s="3">
        <f>IMAGE("https://irishfamilysurnames.com/wp-content/uploads/2021/04/harte-B-H.jpg")</f>
        <v/>
      </c>
      <c r="E164" s="4" t="inlineStr">
        <is>
          <t>https://irishfamilysurnames.com/wp-content/uploads/2021/04/harte-B-H.jpg</t>
        </is>
      </c>
    </row>
    <row r="165" ht="75" customHeight="1">
      <c r="A165" s="3" t="inlineStr">
        <is>
          <t>Hayes</t>
        </is>
      </c>
      <c r="B165" s="3" t="inlineStr">
        <is>
          <t>hayes</t>
        </is>
      </c>
      <c r="C165" s="4" t="inlineStr">
        <is>
          <t>https://irishfamilysurnames.com/product/hayes/</t>
        </is>
      </c>
      <c r="D165" s="3">
        <f>IMAGE("https://irishfamilysurnames.com/wp-content/uploads/2021/04/hayes-B-H.jpg")</f>
        <v/>
      </c>
      <c r="E165" s="4" t="inlineStr">
        <is>
          <t>https://irishfamilysurnames.com/wp-content/uploads/2021/04/hayes-B-H.jpg</t>
        </is>
      </c>
    </row>
    <row r="166" ht="75" customHeight="1">
      <c r="A166" s="3" t="inlineStr">
        <is>
          <t>Healy</t>
        </is>
      </c>
      <c r="B166" s="3" t="inlineStr">
        <is>
          <t>healy</t>
        </is>
      </c>
      <c r="C166" s="4" t="inlineStr">
        <is>
          <t>https://irishfamilysurnames.com/product/healy/</t>
        </is>
      </c>
      <c r="D166" s="3">
        <f>IMAGE("https://irishfamilysurnames.com/wp-content/uploads/2021/04/healy-B-H.jpg")</f>
        <v/>
      </c>
      <c r="E166" s="4" t="inlineStr">
        <is>
          <t>https://irishfamilysurnames.com/wp-content/uploads/2021/04/healy-B-H.jpg</t>
        </is>
      </c>
    </row>
    <row r="167" ht="75" customHeight="1">
      <c r="A167" s="3" t="inlineStr">
        <is>
          <t>Heffernan</t>
        </is>
      </c>
      <c r="B167" s="3" t="inlineStr">
        <is>
          <t>heffernan</t>
        </is>
      </c>
      <c r="C167" s="4" t="inlineStr">
        <is>
          <t>https://irishfamilysurnames.com/product/heffernan/</t>
        </is>
      </c>
      <c r="D167" s="3">
        <f>IMAGE("https://irishfamilysurnames.com/wp-content/uploads/2021/04/heffernan-B-H.jpg")</f>
        <v/>
      </c>
      <c r="E167" s="4" t="inlineStr">
        <is>
          <t>https://irishfamilysurnames.com/wp-content/uploads/2021/04/heffernan-B-H.jpg</t>
        </is>
      </c>
    </row>
    <row r="168" ht="75" customHeight="1">
      <c r="A168" s="3" t="inlineStr">
        <is>
          <t>Hegarty</t>
        </is>
      </c>
      <c r="B168" s="3" t="inlineStr">
        <is>
          <t>hegarty</t>
        </is>
      </c>
      <c r="C168" s="4" t="inlineStr">
        <is>
          <t>https://irishfamilysurnames.com/product/hegarty/</t>
        </is>
      </c>
      <c r="D168" s="3">
        <f>IMAGE("https://irishfamilysurnames.com/wp-content/uploads/2021/04/hegarty-B-H.jpg")</f>
        <v/>
      </c>
      <c r="E168" s="4" t="inlineStr">
        <is>
          <t>https://irishfamilysurnames.com/wp-content/uploads/2021/04/hegarty-B-H.jpg</t>
        </is>
      </c>
    </row>
    <row r="169" ht="75" customHeight="1">
      <c r="A169" s="3" t="inlineStr">
        <is>
          <t>Hely</t>
        </is>
      </c>
      <c r="B169" s="3" t="inlineStr">
        <is>
          <t>hely</t>
        </is>
      </c>
      <c r="C169" s="4" t="inlineStr">
        <is>
          <t>https://irishfamilysurnames.com/product/hely/</t>
        </is>
      </c>
      <c r="D169" s="3">
        <f>IMAGE("https://irishfamilysurnames.com/wp-content/uploads/2021/04/hely-B-H.jpg")</f>
        <v/>
      </c>
      <c r="E169" s="4" t="inlineStr">
        <is>
          <t>https://irishfamilysurnames.com/wp-content/uploads/2021/04/hely-B-H.jpg</t>
        </is>
      </c>
    </row>
    <row r="170" ht="75" customHeight="1">
      <c r="A170" s="3" t="inlineStr">
        <is>
          <t>Hennessy</t>
        </is>
      </c>
      <c r="B170" s="3" t="inlineStr">
        <is>
          <t>hennessy</t>
        </is>
      </c>
      <c r="C170" s="4" t="inlineStr">
        <is>
          <t>https://irishfamilysurnames.com/product/hennessy/</t>
        </is>
      </c>
      <c r="D170" s="3">
        <f>IMAGE("https://irishfamilysurnames.com/wp-content/uploads/2021/04/hennessy-B-H.jpg")</f>
        <v/>
      </c>
      <c r="E170" s="4" t="inlineStr">
        <is>
          <t>https://irishfamilysurnames.com/wp-content/uploads/2021/04/hennessy-B-H.jpg</t>
        </is>
      </c>
    </row>
    <row r="171" ht="75" customHeight="1">
      <c r="A171" s="3" t="inlineStr">
        <is>
          <t>Hickey</t>
        </is>
      </c>
      <c r="B171" s="3" t="inlineStr">
        <is>
          <t>hickey</t>
        </is>
      </c>
      <c r="C171" s="4" t="inlineStr">
        <is>
          <t>https://irishfamilysurnames.com/product/hickey/</t>
        </is>
      </c>
      <c r="D171" s="3">
        <f>IMAGE("https://irishfamilysurnames.com/wp-content/uploads/2021/04/hickey-B-H.jpg")</f>
        <v/>
      </c>
      <c r="E171" s="4" t="inlineStr">
        <is>
          <t>https://irishfamilysurnames.com/wp-content/uploads/2021/04/hickey-B-H.jpg</t>
        </is>
      </c>
    </row>
    <row r="172" ht="75" customHeight="1">
      <c r="A172" s="3" t="inlineStr">
        <is>
          <t>Higgins</t>
        </is>
      </c>
      <c r="B172" s="3" t="inlineStr">
        <is>
          <t>higgins</t>
        </is>
      </c>
      <c r="C172" s="4" t="inlineStr">
        <is>
          <t>https://irishfamilysurnames.com/product/higgins/</t>
        </is>
      </c>
      <c r="D172" s="3">
        <f>IMAGE("https://irishfamilysurnames.com/wp-content/uploads/2021/04/higgins-B-H.jpg")</f>
        <v/>
      </c>
      <c r="E172" s="4" t="inlineStr">
        <is>
          <t>https://irishfamilysurnames.com/wp-content/uploads/2021/04/higgins-B-H.jpg</t>
        </is>
      </c>
    </row>
    <row r="173" ht="75" customHeight="1">
      <c r="A173" s="3" t="inlineStr">
        <is>
          <t>Hill</t>
        </is>
      </c>
      <c r="B173" s="3" t="inlineStr">
        <is>
          <t>hill</t>
        </is>
      </c>
      <c r="C173" s="4" t="inlineStr">
        <is>
          <t>https://irishfamilysurnames.com/product/hill/</t>
        </is>
      </c>
      <c r="D173" s="3">
        <f>IMAGE("https://irishfamilysurnames.com/wp-content/uploads/2021/04/harris-B-H-1.jpg")</f>
        <v/>
      </c>
      <c r="E173" s="4" t="inlineStr">
        <is>
          <t>https://irishfamilysurnames.com/wp-content/uploads/2021/04/harris-B-H-1.jpg</t>
        </is>
      </c>
    </row>
    <row r="174" ht="75" customHeight="1">
      <c r="A174" s="3" t="inlineStr">
        <is>
          <t>Hines</t>
        </is>
      </c>
      <c r="B174" s="3" t="inlineStr">
        <is>
          <t>hines</t>
        </is>
      </c>
      <c r="C174" s="4" t="inlineStr">
        <is>
          <t>https://irishfamilysurnames.com/product/hines/</t>
        </is>
      </c>
      <c r="D174" s="3">
        <f>IMAGE("https://irishfamilysurnames.com/wp-content/uploads/2021/04/hines-B-H.jpg")</f>
        <v/>
      </c>
      <c r="E174" s="4" t="inlineStr">
        <is>
          <t>https://irishfamilysurnames.com/wp-content/uploads/2021/04/hines-B-H.jpg</t>
        </is>
      </c>
    </row>
    <row r="175" ht="75" customHeight="1">
      <c r="A175" s="3" t="inlineStr">
        <is>
          <t>Hogan</t>
        </is>
      </c>
      <c r="B175" s="3" t="inlineStr">
        <is>
          <t>hogan</t>
        </is>
      </c>
      <c r="C175" s="4" t="inlineStr">
        <is>
          <t>https://irishfamilysurnames.com/product/hogan/</t>
        </is>
      </c>
      <c r="D175" s="3">
        <f>IMAGE("https://irishfamilysurnames.com/wp-content/uploads/2021/04/hogan-B-H.jpg")</f>
        <v/>
      </c>
      <c r="E175" s="4" t="inlineStr">
        <is>
          <t>https://irishfamilysurnames.com/wp-content/uploads/2021/04/hogan-B-H.jpg</t>
        </is>
      </c>
    </row>
    <row r="176" ht="75" customHeight="1">
      <c r="A176" s="3" t="inlineStr">
        <is>
          <t>Horan</t>
        </is>
      </c>
      <c r="B176" s="3" t="inlineStr">
        <is>
          <t>horan</t>
        </is>
      </c>
      <c r="C176" s="4" t="inlineStr">
        <is>
          <t>https://irishfamilysurnames.com/product/horan/</t>
        </is>
      </c>
      <c r="D176" s="3">
        <f>IMAGE("https://irishfamilysurnames.com/wp-content/uploads/2021/04/horan-B-H.jpg")</f>
        <v/>
      </c>
      <c r="E176" s="4" t="inlineStr">
        <is>
          <t>https://irishfamilysurnames.com/wp-content/uploads/2021/04/horan-B-H.jpg</t>
        </is>
      </c>
    </row>
    <row r="177" ht="75" customHeight="1">
      <c r="A177" s="3" t="inlineStr">
        <is>
          <t>Hughes</t>
        </is>
      </c>
      <c r="B177" s="3" t="inlineStr">
        <is>
          <t>hughes</t>
        </is>
      </c>
      <c r="C177" s="4" t="inlineStr">
        <is>
          <t>https://irishfamilysurnames.com/product/hughes/</t>
        </is>
      </c>
      <c r="D177" s="3">
        <f>IMAGE("https://irishfamilysurnames.com/wp-content/uploads/2021/04/hughes-B-H.jpg")</f>
        <v/>
      </c>
      <c r="E177" s="4" t="inlineStr">
        <is>
          <t>https://irishfamilysurnames.com/wp-content/uploads/2021/04/hughes-B-H.jpg</t>
        </is>
      </c>
    </row>
    <row r="178" ht="75" customHeight="1">
      <c r="A178" s="3" t="inlineStr">
        <is>
          <t>Hurley</t>
        </is>
      </c>
      <c r="B178" s="3" t="inlineStr">
        <is>
          <t>hurley</t>
        </is>
      </c>
      <c r="C178" s="4" t="inlineStr">
        <is>
          <t>https://irishfamilysurnames.com/product/hurley/</t>
        </is>
      </c>
      <c r="D178" s="3">
        <f>IMAGE("https://irishfamilysurnames.com/wp-content/uploads/2021/04/hurley-B-H-1.jpg")</f>
        <v/>
      </c>
      <c r="E178" s="4" t="inlineStr">
        <is>
          <t>https://irishfamilysurnames.com/wp-content/uploads/2021/04/hurley-B-H-1.jpg</t>
        </is>
      </c>
    </row>
    <row r="179" ht="75" customHeight="1">
      <c r="A179" s="3" t="inlineStr">
        <is>
          <t>Hyland</t>
        </is>
      </c>
      <c r="B179" s="3" t="inlineStr">
        <is>
          <t>hyland</t>
        </is>
      </c>
      <c r="C179" s="4" t="inlineStr">
        <is>
          <t>https://irishfamilysurnames.com/product/hyland/</t>
        </is>
      </c>
      <c r="D179" s="3">
        <f>IMAGE("https://irishfamilysurnames.com/wp-content/uploads/2021/04/hyland-B-H.jpg")</f>
        <v/>
      </c>
      <c r="E179" s="4" t="inlineStr">
        <is>
          <t>https://irishfamilysurnames.com/wp-content/uploads/2021/04/hyland-B-H.jpg</t>
        </is>
      </c>
    </row>
    <row r="180" ht="75" customHeight="1">
      <c r="A180" s="3" t="inlineStr">
        <is>
          <t>Hyland Copy</t>
        </is>
      </c>
      <c r="B180" s="3" t="inlineStr">
        <is>
          <t>hyland-copy</t>
        </is>
      </c>
      <c r="C180" s="4" t="inlineStr">
        <is>
          <t>https://irishfamilysurnames.com/product/hyland-copy/</t>
        </is>
      </c>
      <c r="D180" s="3">
        <f>IMAGE("https://irishfamilysurnames.com/wp-content/uploads/2021/04/hynes-B-H.jpg")</f>
        <v/>
      </c>
      <c r="E180" s="4" t="inlineStr">
        <is>
          <t>https://irishfamilysurnames.com/wp-content/uploads/2021/04/hynes-B-H.jpg</t>
        </is>
      </c>
    </row>
    <row r="181" ht="75" customHeight="1">
      <c r="A181" s="3" t="inlineStr">
        <is>
          <t>Jackson</t>
        </is>
      </c>
      <c r="B181" s="3" t="inlineStr">
        <is>
          <t>jackson</t>
        </is>
      </c>
      <c r="C181" s="4" t="inlineStr">
        <is>
          <t>https://irishfamilysurnames.com/product/jackson/</t>
        </is>
      </c>
      <c r="D181" s="3">
        <f>IMAGE("https://irishfamilysurnames.com/wp-content/uploads/2021/04/jackson-B-H.jpg")</f>
        <v/>
      </c>
      <c r="E181" s="4" t="inlineStr">
        <is>
          <t>https://irishfamilysurnames.com/wp-content/uploads/2021/04/jackson-B-H.jpg</t>
        </is>
      </c>
    </row>
    <row r="182" ht="75" customHeight="1">
      <c r="A182" s="3" t="inlineStr">
        <is>
          <t>Johnson</t>
        </is>
      </c>
      <c r="B182" s="3" t="inlineStr">
        <is>
          <t>johnson</t>
        </is>
      </c>
      <c r="C182" s="4" t="inlineStr">
        <is>
          <t>https://irishfamilysurnames.com/product/johnson/</t>
        </is>
      </c>
      <c r="D182" s="3">
        <f>IMAGE("https://irishfamilysurnames.com/wp-content/uploads/2021/04/johnson-B-H.jpg")</f>
        <v/>
      </c>
      <c r="E182" s="4" t="inlineStr">
        <is>
          <t>https://irishfamilysurnames.com/wp-content/uploads/2021/04/johnson-B-H.jpg</t>
        </is>
      </c>
    </row>
    <row r="183" ht="75" customHeight="1">
      <c r="A183" s="3" t="inlineStr">
        <is>
          <t>Johnston</t>
        </is>
      </c>
      <c r="B183" s="3" t="inlineStr">
        <is>
          <t>johnston</t>
        </is>
      </c>
      <c r="C183" s="4" t="inlineStr">
        <is>
          <t>https://irishfamilysurnames.com/product/johnston/</t>
        </is>
      </c>
      <c r="D183" s="3">
        <f>IMAGE("https://irishfamilysurnames.com/wp-content/uploads/2021/04/johnston-B-H.jpg")</f>
        <v/>
      </c>
      <c r="E183" s="4" t="inlineStr">
        <is>
          <t>https://irishfamilysurnames.com/wp-content/uploads/2021/04/johnston-B-H.jpg</t>
        </is>
      </c>
    </row>
    <row r="184" ht="75" customHeight="1">
      <c r="A184" s="3" t="inlineStr">
        <is>
          <t>Jones</t>
        </is>
      </c>
      <c r="B184" s="3" t="inlineStr">
        <is>
          <t>jones</t>
        </is>
      </c>
      <c r="C184" s="4" t="inlineStr">
        <is>
          <t>https://irishfamilysurnames.com/product/jones/</t>
        </is>
      </c>
      <c r="D184" s="3">
        <f>IMAGE("https://irishfamilysurnames.com/wp-content/uploads/2021/04/jones-B-H.jpg")</f>
        <v/>
      </c>
      <c r="E184" s="4" t="inlineStr">
        <is>
          <t>https://irishfamilysurnames.com/wp-content/uploads/2021/04/jones-B-H.jpg</t>
        </is>
      </c>
    </row>
    <row r="185" ht="75" customHeight="1">
      <c r="A185" s="3" t="inlineStr">
        <is>
          <t>Jordan</t>
        </is>
      </c>
      <c r="B185" s="3" t="inlineStr">
        <is>
          <t>jordan</t>
        </is>
      </c>
      <c r="C185" s="4" t="inlineStr">
        <is>
          <t>https://irishfamilysurnames.com/product/jordan/</t>
        </is>
      </c>
      <c r="D185" s="3">
        <f>IMAGE("https://irishfamilysurnames.com/wp-content/uploads/2021/04/jordan-B-H.jpg")</f>
        <v/>
      </c>
      <c r="E185" s="4" t="inlineStr">
        <is>
          <t>https://irishfamilysurnames.com/wp-content/uploads/2021/04/jordan-B-H.jpg</t>
        </is>
      </c>
    </row>
    <row r="186" ht="75" customHeight="1">
      <c r="A186" s="3" t="inlineStr">
        <is>
          <t>Joyce</t>
        </is>
      </c>
      <c r="B186" s="3" t="inlineStr">
        <is>
          <t>joyce</t>
        </is>
      </c>
      <c r="C186" s="4" t="inlineStr">
        <is>
          <t>https://irishfamilysurnames.com/product/joyce/</t>
        </is>
      </c>
      <c r="D186" s="3">
        <f>IMAGE("https://irishfamilysurnames.com/wp-content/uploads/2021/04/joyce-B-H-1.jpg")</f>
        <v/>
      </c>
      <c r="E186" s="4" t="inlineStr">
        <is>
          <t>https://irishfamilysurnames.com/wp-content/uploads/2021/04/joyce-B-H-1.jpg</t>
        </is>
      </c>
    </row>
    <row r="187" ht="75" customHeight="1">
      <c r="A187" s="3" t="inlineStr">
        <is>
          <t>Kane</t>
        </is>
      </c>
      <c r="B187" s="3" t="inlineStr">
        <is>
          <t>kane</t>
        </is>
      </c>
      <c r="C187" s="4" t="inlineStr">
        <is>
          <t>https://irishfamilysurnames.com/product/kane/</t>
        </is>
      </c>
      <c r="D187" s="3">
        <f>IMAGE("https://irishfamilysurnames.com/wp-content/uploads/2021/04/kane-B-H.jpg")</f>
        <v/>
      </c>
      <c r="E187" s="4" t="inlineStr">
        <is>
          <t>https://irishfamilysurnames.com/wp-content/uploads/2021/04/kane-B-H.jpg</t>
        </is>
      </c>
    </row>
    <row r="188" ht="75" customHeight="1">
      <c r="A188" s="3" t="inlineStr">
        <is>
          <t>Kavanagh</t>
        </is>
      </c>
      <c r="B188" s="3" t="inlineStr">
        <is>
          <t>kavanagh</t>
        </is>
      </c>
      <c r="C188" s="4" t="inlineStr">
        <is>
          <t>https://irishfamilysurnames.com/product/kavanagh/</t>
        </is>
      </c>
      <c r="D188" s="3">
        <f>IMAGE("https://irishfamilysurnames.com/wp-content/uploads/2021/04/kavanagh-B-H.jpg")</f>
        <v/>
      </c>
      <c r="E188" s="4" t="inlineStr">
        <is>
          <t>https://irishfamilysurnames.com/wp-content/uploads/2021/04/kavanagh-B-H.jpg</t>
        </is>
      </c>
    </row>
    <row r="189" ht="75" customHeight="1">
      <c r="A189" s="3" t="inlineStr">
        <is>
          <t>Keane</t>
        </is>
      </c>
      <c r="B189" s="3" t="inlineStr">
        <is>
          <t>keane</t>
        </is>
      </c>
      <c r="C189" s="4" t="inlineStr">
        <is>
          <t>https://irishfamilysurnames.com/product/keane/</t>
        </is>
      </c>
      <c r="D189" s="3">
        <f>IMAGE("https://irishfamilysurnames.com/wp-content/uploads/2021/04/keane-B-H.jpg")</f>
        <v/>
      </c>
      <c r="E189" s="4" t="inlineStr">
        <is>
          <t>https://irishfamilysurnames.com/wp-content/uploads/2021/04/keane-B-H.jpg</t>
        </is>
      </c>
    </row>
    <row r="190" ht="75" customHeight="1">
      <c r="A190" s="3" t="inlineStr">
        <is>
          <t>Kearney</t>
        </is>
      </c>
      <c r="B190" s="3" t="inlineStr">
        <is>
          <t>kearney</t>
        </is>
      </c>
      <c r="C190" s="4" t="inlineStr">
        <is>
          <t>https://irishfamilysurnames.com/product/kearney/</t>
        </is>
      </c>
      <c r="D190" s="3">
        <f>IMAGE("https://irishfamilysurnames.com/wp-content/uploads/2021/04/kearney-B-H.jpg")</f>
        <v/>
      </c>
      <c r="E190" s="4" t="inlineStr">
        <is>
          <t>https://irishfamilysurnames.com/wp-content/uploads/2021/04/kearney-B-H.jpg</t>
        </is>
      </c>
    </row>
    <row r="191" ht="75" customHeight="1">
      <c r="A191" s="3" t="inlineStr">
        <is>
          <t>Kearns</t>
        </is>
      </c>
      <c r="B191" s="3" t="inlineStr">
        <is>
          <t>kearns</t>
        </is>
      </c>
      <c r="C191" s="4" t="inlineStr">
        <is>
          <t>https://irishfamilysurnames.com/product/kearns/</t>
        </is>
      </c>
      <c r="D191" s="3">
        <f>IMAGE("https://irishfamilysurnames.com/wp-content/uploads/2021/04/kearns-B-H.jpg")</f>
        <v/>
      </c>
      <c r="E191" s="4" t="inlineStr">
        <is>
          <t>https://irishfamilysurnames.com/wp-content/uploads/2021/04/kearns-B-H.jpg</t>
        </is>
      </c>
    </row>
    <row r="192" ht="75" customHeight="1">
      <c r="A192" s="3" t="inlineStr">
        <is>
          <t>Keating</t>
        </is>
      </c>
      <c r="B192" s="3" t="inlineStr">
        <is>
          <t>keating</t>
        </is>
      </c>
      <c r="C192" s="4" t="inlineStr">
        <is>
          <t>https://irishfamilysurnames.com/product/keating/</t>
        </is>
      </c>
      <c r="D192" s="3">
        <f>IMAGE("https://irishfamilysurnames.com/wp-content/uploads/2021/04/keating-B-H.jpg")</f>
        <v/>
      </c>
      <c r="E192" s="4" t="inlineStr">
        <is>
          <t>https://irishfamilysurnames.com/wp-content/uploads/2021/04/keating-B-H.jpg</t>
        </is>
      </c>
    </row>
    <row r="193" ht="75" customHeight="1">
      <c r="A193" s="3" t="inlineStr">
        <is>
          <t>Keefe</t>
        </is>
      </c>
      <c r="B193" s="3" t="inlineStr">
        <is>
          <t>keefe</t>
        </is>
      </c>
      <c r="C193" s="4" t="inlineStr">
        <is>
          <t>https://irishfamilysurnames.com/product/keefe/</t>
        </is>
      </c>
      <c r="D193" s="3">
        <f>IMAGE("https://irishfamilysurnames.com/wp-content/uploads/2021/04/keefe-B-H.jpg")</f>
        <v/>
      </c>
      <c r="E193" s="4" t="inlineStr">
        <is>
          <t>https://irishfamilysurnames.com/wp-content/uploads/2021/04/keefe-B-H.jpg</t>
        </is>
      </c>
    </row>
    <row r="194" ht="75" customHeight="1">
      <c r="A194" s="3" t="inlineStr">
        <is>
          <t>Keeffe</t>
        </is>
      </c>
      <c r="B194" s="3" t="inlineStr">
        <is>
          <t>keeffe</t>
        </is>
      </c>
      <c r="C194" s="4" t="inlineStr">
        <is>
          <t>https://irishfamilysurnames.com/product/keeffe/</t>
        </is>
      </c>
      <c r="D194" s="3">
        <f>IMAGE("https://irishfamilysurnames.com/wp-content/uploads/2021/04/keeffe-B-H.jpg")</f>
        <v/>
      </c>
      <c r="E194" s="4" t="inlineStr">
        <is>
          <t>https://irishfamilysurnames.com/wp-content/uploads/2021/04/keeffe-B-H.jpg</t>
        </is>
      </c>
    </row>
    <row r="195" ht="75" customHeight="1">
      <c r="A195" s="3" t="inlineStr">
        <is>
          <t>Keegan</t>
        </is>
      </c>
      <c r="B195" s="3" t="inlineStr">
        <is>
          <t>keegan</t>
        </is>
      </c>
      <c r="C195" s="4" t="inlineStr">
        <is>
          <t>https://irishfamilysurnames.com/product/keegan/</t>
        </is>
      </c>
      <c r="D195" s="3">
        <f>IMAGE("https://irishfamilysurnames.com/wp-content/uploads/2021/04/keegan-B-H.jpg")</f>
        <v/>
      </c>
      <c r="E195" s="4" t="inlineStr">
        <is>
          <t>https://irishfamilysurnames.com/wp-content/uploads/2021/04/keegan-B-H.jpg</t>
        </is>
      </c>
    </row>
    <row r="196" ht="75" customHeight="1">
      <c r="A196" s="3" t="inlineStr">
        <is>
          <t>Keenan</t>
        </is>
      </c>
      <c r="B196" s="3" t="inlineStr">
        <is>
          <t>keenan</t>
        </is>
      </c>
      <c r="C196" s="4" t="inlineStr">
        <is>
          <t>https://irishfamilysurnames.com/product/keenan/</t>
        </is>
      </c>
      <c r="D196" s="3">
        <f>IMAGE("https://irishfamilysurnames.com/wp-content/uploads/2021/04/keenan-B-H.jpg")</f>
        <v/>
      </c>
      <c r="E196" s="4" t="inlineStr">
        <is>
          <t>https://irishfamilysurnames.com/wp-content/uploads/2021/04/keenan-B-H.jpg</t>
        </is>
      </c>
    </row>
    <row r="197" ht="75" customHeight="1">
      <c r="A197" s="3" t="inlineStr">
        <is>
          <t>Kehoe</t>
        </is>
      </c>
      <c r="B197" s="3" t="inlineStr">
        <is>
          <t>kehoe</t>
        </is>
      </c>
      <c r="C197" s="4" t="inlineStr">
        <is>
          <t>https://irishfamilysurnames.com/product/kehoe/</t>
        </is>
      </c>
      <c r="D197" s="3">
        <f>IMAGE("https://irishfamilysurnames.com/wp-content/uploads/2021/04/kehoe-B-H.jpg")</f>
        <v/>
      </c>
      <c r="E197" s="4" t="inlineStr">
        <is>
          <t>https://irishfamilysurnames.com/wp-content/uploads/2021/04/kehoe-B-H.jpg</t>
        </is>
      </c>
    </row>
    <row r="198" ht="75" customHeight="1">
      <c r="A198" s="3" t="inlineStr">
        <is>
          <t>Kelley</t>
        </is>
      </c>
      <c r="B198" s="3" t="inlineStr">
        <is>
          <t>kelley</t>
        </is>
      </c>
      <c r="C198" s="4" t="inlineStr">
        <is>
          <t>https://irishfamilysurnames.com/product/kelley/</t>
        </is>
      </c>
      <c r="D198" s="3">
        <f>IMAGE("https://irishfamilysurnames.com/wp-content/uploads/2021/04/kelley-B-H.jpg")</f>
        <v/>
      </c>
      <c r="E198" s="4" t="inlineStr">
        <is>
          <t>https://irishfamilysurnames.com/wp-content/uploads/2021/04/kelley-B-H.jpg</t>
        </is>
      </c>
    </row>
    <row r="199" ht="75" customHeight="1">
      <c r="A199" s="3" t="inlineStr">
        <is>
          <t>Kelly</t>
        </is>
      </c>
      <c r="B199" s="3" t="inlineStr">
        <is>
          <t>kelly</t>
        </is>
      </c>
      <c r="C199" s="4" t="inlineStr">
        <is>
          <t>https://irishfamilysurnames.com/product/kelly/</t>
        </is>
      </c>
      <c r="D199" s="3">
        <f>IMAGE("https://irishfamilysurnames.com/wp-content/uploads/2021/04/kelly-B-H.jpg")</f>
        <v/>
      </c>
      <c r="E199" s="4" t="inlineStr">
        <is>
          <t>https://irishfamilysurnames.com/wp-content/uploads/2021/04/kelly-B-H.jpg</t>
        </is>
      </c>
    </row>
    <row r="200" ht="75" customHeight="1">
      <c r="A200" s="3" t="inlineStr">
        <is>
          <t>Kennedy</t>
        </is>
      </c>
      <c r="B200" s="3" t="inlineStr">
        <is>
          <t>kennedy</t>
        </is>
      </c>
      <c r="C200" s="4" t="inlineStr">
        <is>
          <t>https://irishfamilysurnames.com/product/kennedy/</t>
        </is>
      </c>
      <c r="D200" s="3">
        <f>IMAGE("https://irishfamilysurnames.com/wp-content/uploads/2021/04/kennedy-B-H.jpg")</f>
        <v/>
      </c>
      <c r="E200" s="4" t="inlineStr">
        <is>
          <t>https://irishfamilysurnames.com/wp-content/uploads/2021/04/kennedy-B-H.jpg</t>
        </is>
      </c>
    </row>
    <row r="201" ht="75" customHeight="1">
      <c r="A201" s="3" t="inlineStr">
        <is>
          <t>Kenny</t>
        </is>
      </c>
      <c r="B201" s="3" t="inlineStr">
        <is>
          <t>kenny</t>
        </is>
      </c>
      <c r="C201" s="4" t="inlineStr">
        <is>
          <t>https://irishfamilysurnames.com/product/kenny/</t>
        </is>
      </c>
      <c r="D201" s="3">
        <f>IMAGE("https://irishfamilysurnames.com/wp-content/uploads/2021/04/kenny-B-H.jpg")</f>
        <v/>
      </c>
      <c r="E201" s="4" t="inlineStr">
        <is>
          <t>https://irishfamilysurnames.com/wp-content/uploads/2021/04/kenny-B-H.jpg</t>
        </is>
      </c>
    </row>
    <row r="202" ht="75" customHeight="1">
      <c r="A202" s="3" t="inlineStr">
        <is>
          <t>Keogh</t>
        </is>
      </c>
      <c r="B202" s="3" t="inlineStr">
        <is>
          <t>keogh</t>
        </is>
      </c>
      <c r="C202" s="4" t="inlineStr">
        <is>
          <t>https://irishfamilysurnames.com/product/keogh/</t>
        </is>
      </c>
      <c r="D202" s="3">
        <f>IMAGE("https://irishfamilysurnames.com/wp-content/uploads/2021/04/keogh-B-H.jpg")</f>
        <v/>
      </c>
      <c r="E202" s="4" t="inlineStr">
        <is>
          <t>https://irishfamilysurnames.com/wp-content/uploads/2021/04/keogh-B-H.jpg</t>
        </is>
      </c>
    </row>
    <row r="203" ht="75" customHeight="1">
      <c r="A203" s="3" t="inlineStr">
        <is>
          <t>Kerins</t>
        </is>
      </c>
      <c r="B203" s="3" t="inlineStr">
        <is>
          <t>kerins</t>
        </is>
      </c>
      <c r="C203" s="4" t="inlineStr">
        <is>
          <t>https://irishfamilysurnames.com/product/kerins/</t>
        </is>
      </c>
      <c r="D203" s="3">
        <f>IMAGE("https://irishfamilysurnames.com/wp-content/uploads/2021/04/kerins-B-H.jpg")</f>
        <v/>
      </c>
      <c r="E203" s="4" t="inlineStr">
        <is>
          <t>https://irishfamilysurnames.com/wp-content/uploads/2021/04/kerins-B-H.jpg</t>
        </is>
      </c>
    </row>
    <row r="204" ht="75" customHeight="1">
      <c r="A204" s="3" t="inlineStr">
        <is>
          <t>Kiernan</t>
        </is>
      </c>
      <c r="B204" s="3" t="inlineStr">
        <is>
          <t>kiernan</t>
        </is>
      </c>
      <c r="C204" s="4" t="inlineStr">
        <is>
          <t>https://irishfamilysurnames.com/product/kiernan/</t>
        </is>
      </c>
      <c r="D204" s="3">
        <f>IMAGE("https://irishfamilysurnames.com/wp-content/uploads/2021/04/kiernan-B-H.jpg")</f>
        <v/>
      </c>
      <c r="E204" s="4" t="inlineStr">
        <is>
          <t>https://irishfamilysurnames.com/wp-content/uploads/2021/04/kiernan-B-H.jpg</t>
        </is>
      </c>
    </row>
    <row r="205" ht="75" customHeight="1">
      <c r="A205" s="3" t="inlineStr">
        <is>
          <t>King</t>
        </is>
      </c>
      <c r="B205" s="3" t="inlineStr">
        <is>
          <t>king</t>
        </is>
      </c>
      <c r="C205" s="4" t="inlineStr">
        <is>
          <t>https://irishfamilysurnames.com/product/king/</t>
        </is>
      </c>
      <c r="D205" s="3">
        <f>IMAGE("https://irishfamilysurnames.com/wp-content/uploads/2021/04/king-B-H.jpg")</f>
        <v/>
      </c>
      <c r="E205" s="4" t="inlineStr">
        <is>
          <t>https://irishfamilysurnames.com/wp-content/uploads/2021/04/king-B-H.jpg</t>
        </is>
      </c>
    </row>
    <row r="206" ht="75" customHeight="1">
      <c r="A206" s="3" t="inlineStr">
        <is>
          <t>Kinsella</t>
        </is>
      </c>
      <c r="B206" s="3" t="inlineStr">
        <is>
          <t>kinsella</t>
        </is>
      </c>
      <c r="C206" s="4" t="inlineStr">
        <is>
          <t>https://irishfamilysurnames.com/product/kinsella/</t>
        </is>
      </c>
      <c r="D206" s="3">
        <f>IMAGE("https://irishfamilysurnames.com/wp-content/uploads/2021/04/kinsella-B-H.jpg")</f>
        <v/>
      </c>
      <c r="E206" s="4" t="inlineStr">
        <is>
          <t>https://irishfamilysurnames.com/wp-content/uploads/2021/04/kinsella-B-H.jpg</t>
        </is>
      </c>
    </row>
    <row r="207" ht="75" customHeight="1">
      <c r="A207" s="3" t="inlineStr">
        <is>
          <t>Kirwan</t>
        </is>
      </c>
      <c r="B207" s="3" t="inlineStr">
        <is>
          <t>kirwan</t>
        </is>
      </c>
      <c r="C207" s="4" t="inlineStr">
        <is>
          <t>https://irishfamilysurnames.com/product/kirwan/</t>
        </is>
      </c>
      <c r="D207" s="3">
        <f>IMAGE("https://irishfamilysurnames.com/wp-content/uploads/2021/04/kirwan-B-H.jpg")</f>
        <v/>
      </c>
      <c r="E207" s="4" t="inlineStr">
        <is>
          <t>https://irishfamilysurnames.com/wp-content/uploads/2021/04/kirwan-B-H.jpg</t>
        </is>
      </c>
    </row>
    <row r="208" ht="75" customHeight="1">
      <c r="A208" s="3" t="inlineStr">
        <is>
          <t>Lalor</t>
        </is>
      </c>
      <c r="B208" s="3" t="inlineStr">
        <is>
          <t>lalor</t>
        </is>
      </c>
      <c r="C208" s="4" t="inlineStr">
        <is>
          <t>https://irishfamilysurnames.com/product/lalor/</t>
        </is>
      </c>
      <c r="D208" s="3">
        <f>IMAGE("https://irishfamilysurnames.com/wp-content/uploads/2021/04/lalor-B-H.jpg")</f>
        <v/>
      </c>
      <c r="E208" s="4" t="inlineStr">
        <is>
          <t>https://irishfamilysurnames.com/wp-content/uploads/2021/04/lalor-B-H.jpg</t>
        </is>
      </c>
    </row>
    <row r="209" ht="75" customHeight="1">
      <c r="A209" s="3" t="inlineStr">
        <is>
          <t>Larkin</t>
        </is>
      </c>
      <c r="B209" s="3" t="inlineStr">
        <is>
          <t>larkin</t>
        </is>
      </c>
      <c r="C209" s="4" t="inlineStr">
        <is>
          <t>https://irishfamilysurnames.com/product/larkin/</t>
        </is>
      </c>
      <c r="D209" s="3">
        <f>IMAGE("https://irishfamilysurnames.com/wp-content/uploads/2021/04/larkin-B-H.jpg")</f>
        <v/>
      </c>
      <c r="E209" s="4" t="inlineStr">
        <is>
          <t>https://irishfamilysurnames.com/wp-content/uploads/2021/04/larkin-B-H.jpg</t>
        </is>
      </c>
    </row>
    <row r="210" ht="75" customHeight="1">
      <c r="A210" s="3" t="inlineStr">
        <is>
          <t>Lawler</t>
        </is>
      </c>
      <c r="B210" s="3" t="inlineStr">
        <is>
          <t>lawler</t>
        </is>
      </c>
      <c r="C210" s="4" t="inlineStr">
        <is>
          <t>https://irishfamilysurnames.com/product/lawler/</t>
        </is>
      </c>
      <c r="D210" s="3">
        <f>IMAGE("https://irishfamilysurnames.com/wp-content/uploads/2021/04/lawler-B-H-1.jpg")</f>
        <v/>
      </c>
      <c r="E210" s="4" t="inlineStr">
        <is>
          <t>https://irishfamilysurnames.com/wp-content/uploads/2021/04/lawler-B-H-1.jpg</t>
        </is>
      </c>
    </row>
    <row r="211" ht="75" customHeight="1">
      <c r="A211" s="3" t="inlineStr">
        <is>
          <t>Lawlor</t>
        </is>
      </c>
      <c r="B211" s="3" t="inlineStr">
        <is>
          <t>lawlor</t>
        </is>
      </c>
      <c r="C211" s="4" t="inlineStr">
        <is>
          <t>https://irishfamilysurnames.com/product/lawlor/</t>
        </is>
      </c>
      <c r="D211" s="3">
        <f>IMAGE("https://irishfamilysurnames.com/wp-content/uploads/2021/04/lawlor-B-H-1.jpg")</f>
        <v/>
      </c>
      <c r="E211" s="4" t="inlineStr">
        <is>
          <t>https://irishfamilysurnames.com/wp-content/uploads/2021/04/lawlor-B-H-1.jpg</t>
        </is>
      </c>
    </row>
    <row r="212" ht="75" customHeight="1">
      <c r="A212" s="3" t="inlineStr">
        <is>
          <t>Leahy</t>
        </is>
      </c>
      <c r="B212" s="3" t="inlineStr">
        <is>
          <t>leahy</t>
        </is>
      </c>
      <c r="C212" s="4" t="inlineStr">
        <is>
          <t>https://irishfamilysurnames.com/product/leahy/</t>
        </is>
      </c>
      <c r="D212" s="3">
        <f>IMAGE("https://irishfamilysurnames.com/wp-content/uploads/2021/04/leahy-B-H-1.jpg")</f>
        <v/>
      </c>
      <c r="E212" s="4" t="inlineStr">
        <is>
          <t>https://irishfamilysurnames.com/wp-content/uploads/2021/04/leahy-B-H-1.jpg</t>
        </is>
      </c>
    </row>
    <row r="213" ht="75" customHeight="1">
      <c r="A213" s="3" t="inlineStr">
        <is>
          <t>Leary</t>
        </is>
      </c>
      <c r="B213" s="3" t="inlineStr">
        <is>
          <t>leary</t>
        </is>
      </c>
      <c r="C213" s="4" t="inlineStr">
        <is>
          <t>https://irishfamilysurnames.com/product/leary/</t>
        </is>
      </c>
      <c r="D213" s="3">
        <f>IMAGE("https://irishfamilysurnames.com/wp-content/uploads/2021/04/leary-B-H-1.jpg")</f>
        <v/>
      </c>
      <c r="E213" s="4" t="inlineStr">
        <is>
          <t>https://irishfamilysurnames.com/wp-content/uploads/2021/04/leary-B-H-1.jpg</t>
        </is>
      </c>
    </row>
    <row r="214" ht="75" customHeight="1">
      <c r="A214" s="3" t="inlineStr">
        <is>
          <t>Lee</t>
        </is>
      </c>
      <c r="B214" s="3" t="inlineStr">
        <is>
          <t>lee</t>
        </is>
      </c>
      <c r="C214" s="4" t="inlineStr">
        <is>
          <t>https://irishfamilysurnames.com/product/lee/</t>
        </is>
      </c>
      <c r="D214" s="3">
        <f>IMAGE("https://irishfamilysurnames.com/wp-content/uploads/2021/04/lee-B-H-1.jpg")</f>
        <v/>
      </c>
      <c r="E214" s="4" t="inlineStr">
        <is>
          <t>https://irishfamilysurnames.com/wp-content/uploads/2021/04/lee-B-H-1.jpg</t>
        </is>
      </c>
    </row>
    <row r="215" ht="75" customHeight="1">
      <c r="A215" s="3" t="inlineStr">
        <is>
          <t>Lenihan</t>
        </is>
      </c>
      <c r="B215" s="3" t="inlineStr">
        <is>
          <t>lenihan</t>
        </is>
      </c>
      <c r="C215" s="4" t="inlineStr">
        <is>
          <t>https://irishfamilysurnames.com/product/lenihan/</t>
        </is>
      </c>
      <c r="D215" s="3">
        <f>IMAGE("https://irishfamilysurnames.com/wp-content/uploads/2021/04/lenihan-B-H-1.jpg")</f>
        <v/>
      </c>
      <c r="E215" s="4" t="inlineStr">
        <is>
          <t>https://irishfamilysurnames.com/wp-content/uploads/2021/04/lenihan-B-H-1.jpg</t>
        </is>
      </c>
    </row>
    <row r="216" ht="75" customHeight="1">
      <c r="A216" s="3" t="inlineStr">
        <is>
          <t>Lennon</t>
        </is>
      </c>
      <c r="B216" s="3" t="inlineStr">
        <is>
          <t>lennon</t>
        </is>
      </c>
      <c r="C216" s="4" t="inlineStr">
        <is>
          <t>https://irishfamilysurnames.com/product/lennon/</t>
        </is>
      </c>
      <c r="D216" s="3">
        <f>IMAGE("https://irishfamilysurnames.com/wp-content/uploads/2021/04/lennon-B-H-1.jpg")</f>
        <v/>
      </c>
      <c r="E216" s="4" t="inlineStr">
        <is>
          <t>https://irishfamilysurnames.com/wp-content/uploads/2021/04/lennon-B-H-1.jpg</t>
        </is>
      </c>
    </row>
    <row r="217" ht="75" customHeight="1">
      <c r="A217" s="3" t="inlineStr">
        <is>
          <t>Long</t>
        </is>
      </c>
      <c r="B217" s="3" t="inlineStr">
        <is>
          <t>long</t>
        </is>
      </c>
      <c r="C217" s="4" t="inlineStr">
        <is>
          <t>https://irishfamilysurnames.com/product/long/</t>
        </is>
      </c>
      <c r="D217" s="3">
        <f>IMAGE("https://irishfamilysurnames.com/wp-content/uploads/2021/04/long-B-H-1.jpg")</f>
        <v/>
      </c>
      <c r="E217" s="4" t="inlineStr">
        <is>
          <t>https://irishfamilysurnames.com/wp-content/uploads/2021/04/long-B-H-1.jpg</t>
        </is>
      </c>
    </row>
    <row r="218" ht="75" customHeight="1">
      <c r="A218" s="3" t="inlineStr">
        <is>
          <t>Lynch</t>
        </is>
      </c>
      <c r="B218" s="3" t="inlineStr">
        <is>
          <t>lynch</t>
        </is>
      </c>
      <c r="C218" s="4" t="inlineStr">
        <is>
          <t>https://irishfamilysurnames.com/product/lynch/</t>
        </is>
      </c>
      <c r="D218" s="3">
        <f>IMAGE("https://irishfamilysurnames.com/wp-content/uploads/2021/04/lynch-B-H-1.jpg")</f>
        <v/>
      </c>
      <c r="E218" s="4" t="inlineStr">
        <is>
          <t>https://irishfamilysurnames.com/wp-content/uploads/2021/04/lynch-B-H-1.jpg</t>
        </is>
      </c>
    </row>
    <row r="219" ht="75" customHeight="1">
      <c r="A219" s="3" t="inlineStr">
        <is>
          <t>Lyons</t>
        </is>
      </c>
      <c r="B219" s="3" t="inlineStr">
        <is>
          <t>lyons</t>
        </is>
      </c>
      <c r="C219" s="4" t="inlineStr">
        <is>
          <t>https://irishfamilysurnames.com/product/lyons/</t>
        </is>
      </c>
      <c r="D219" s="3">
        <f>IMAGE("https://irishfamilysurnames.com/wp-content/uploads/2021/04/lyons-B-H-1.jpg")</f>
        <v/>
      </c>
      <c r="E219" s="4" t="inlineStr">
        <is>
          <t>https://irishfamilysurnames.com/wp-content/uploads/2021/04/lyons-B-H-1.jpg</t>
        </is>
      </c>
    </row>
    <row r="220" ht="75" customHeight="1">
      <c r="A220" s="3" t="inlineStr">
        <is>
          <t>Mackey</t>
        </is>
      </c>
      <c r="B220" s="3" t="inlineStr">
        <is>
          <t>mackey</t>
        </is>
      </c>
      <c r="C220" s="4" t="inlineStr">
        <is>
          <t>https://irishfamilysurnames.com/product/mackey/</t>
        </is>
      </c>
      <c r="D220" s="3">
        <f>IMAGE("https://irishfamilysurnames.com/wp-content/uploads/2021/04/mackey-B-H.jpg")</f>
        <v/>
      </c>
      <c r="E220" s="4" t="inlineStr">
        <is>
          <t>https://irishfamilysurnames.com/wp-content/uploads/2021/04/mackey-B-H.jpg</t>
        </is>
      </c>
    </row>
    <row r="221" ht="75" customHeight="1">
      <c r="A221" s="3" t="inlineStr">
        <is>
          <t>Madden</t>
        </is>
      </c>
      <c r="B221" s="3" t="inlineStr">
        <is>
          <t>madden</t>
        </is>
      </c>
      <c r="C221" s="4" t="inlineStr">
        <is>
          <t>https://irishfamilysurnames.com/product/madden/</t>
        </is>
      </c>
      <c r="D221" s="3">
        <f>IMAGE("https://irishfamilysurnames.com/wp-content/uploads/2021/04/madden-B-H.jpg")</f>
        <v/>
      </c>
      <c r="E221" s="4" t="inlineStr">
        <is>
          <t>https://irishfamilysurnames.com/wp-content/uploads/2021/04/madden-B-H.jpg</t>
        </is>
      </c>
    </row>
    <row r="222" ht="75" customHeight="1">
      <c r="A222" s="3" t="inlineStr">
        <is>
          <t>Magee</t>
        </is>
      </c>
      <c r="B222" s="3" t="inlineStr">
        <is>
          <t>magee</t>
        </is>
      </c>
      <c r="C222" s="4" t="inlineStr">
        <is>
          <t>https://irishfamilysurnames.com/product/magee/</t>
        </is>
      </c>
      <c r="D222" s="3">
        <f>IMAGE("https://irishfamilysurnames.com/wp-content/uploads/2021/04/magee-B-H.jpg")</f>
        <v/>
      </c>
      <c r="E222" s="4" t="inlineStr">
        <is>
          <t>https://irishfamilysurnames.com/wp-content/uploads/2021/04/magee-B-H.jpg</t>
        </is>
      </c>
    </row>
    <row r="223" ht="75" customHeight="1">
      <c r="A223" s="3" t="inlineStr">
        <is>
          <t>Maguire</t>
        </is>
      </c>
      <c r="B223" s="3" t="inlineStr">
        <is>
          <t>maguire</t>
        </is>
      </c>
      <c r="C223" s="4" t="inlineStr">
        <is>
          <t>https://irishfamilysurnames.com/product/maguire/</t>
        </is>
      </c>
      <c r="D223" s="3">
        <f>IMAGE("https://irishfamilysurnames.com/wp-content/uploads/2021/04/maguire-B-H.jpg")</f>
        <v/>
      </c>
      <c r="E223" s="4" t="inlineStr">
        <is>
          <t>https://irishfamilysurnames.com/wp-content/uploads/2021/04/maguire-B-H.jpg</t>
        </is>
      </c>
    </row>
    <row r="224" ht="75" customHeight="1">
      <c r="A224" s="3" t="inlineStr">
        <is>
          <t>Maher</t>
        </is>
      </c>
      <c r="B224" s="3" t="inlineStr">
        <is>
          <t>maher</t>
        </is>
      </c>
      <c r="C224" s="4" t="inlineStr">
        <is>
          <t>https://irishfamilysurnames.com/product/maher/</t>
        </is>
      </c>
      <c r="D224" s="3">
        <f>IMAGE("https://irishfamilysurnames.com/wp-content/uploads/2021/04/maher-B-H.jpg")</f>
        <v/>
      </c>
      <c r="E224" s="4" t="inlineStr">
        <is>
          <t>https://irishfamilysurnames.com/wp-content/uploads/2021/04/maher-B-H.jpg</t>
        </is>
      </c>
    </row>
    <row r="225" ht="75" customHeight="1">
      <c r="A225" s="3" t="inlineStr">
        <is>
          <t>Mahon</t>
        </is>
      </c>
      <c r="B225" s="3" t="inlineStr">
        <is>
          <t>mahon</t>
        </is>
      </c>
      <c r="C225" s="4" t="inlineStr">
        <is>
          <t>https://irishfamilysurnames.com/product/mahon/</t>
        </is>
      </c>
      <c r="D225" s="3">
        <f>IMAGE("https://irishfamilysurnames.com/wp-content/uploads/2021/04/mahon-B-H.jpg")</f>
        <v/>
      </c>
      <c r="E225" s="4" t="inlineStr">
        <is>
          <t>https://irishfamilysurnames.com/wp-content/uploads/2021/04/mahon-B-H.jpg</t>
        </is>
      </c>
    </row>
    <row r="226" ht="75" customHeight="1">
      <c r="A226" s="3" t="inlineStr">
        <is>
          <t>Mahoney</t>
        </is>
      </c>
      <c r="B226" s="3" t="inlineStr">
        <is>
          <t>mahoney</t>
        </is>
      </c>
      <c r="C226" s="4" t="inlineStr">
        <is>
          <t>https://irishfamilysurnames.com/product/mahoney/</t>
        </is>
      </c>
      <c r="D226" s="3">
        <f>IMAGE("https://irishfamilysurnames.com/wp-content/uploads/2021/04/mahoney-B-H.jpg")</f>
        <v/>
      </c>
      <c r="E226" s="4" t="inlineStr">
        <is>
          <t>https://irishfamilysurnames.com/wp-content/uploads/2021/04/mahoney-B-H.jpg</t>
        </is>
      </c>
    </row>
    <row r="227" ht="75" customHeight="1">
      <c r="A227" s="3" t="inlineStr">
        <is>
          <t>Mahony</t>
        </is>
      </c>
      <c r="B227" s="3" t="inlineStr">
        <is>
          <t>mahony</t>
        </is>
      </c>
      <c r="C227" s="4" t="inlineStr">
        <is>
          <t>https://irishfamilysurnames.com/product/mahony/</t>
        </is>
      </c>
      <c r="D227" s="3">
        <f>IMAGE("https://irishfamilysurnames.com/wp-content/uploads/2021/04/mahony-B-H.jpg")</f>
        <v/>
      </c>
      <c r="E227" s="4" t="inlineStr">
        <is>
          <t>https://irishfamilysurnames.com/wp-content/uploads/2021/04/mahony-B-H.jpg</t>
        </is>
      </c>
    </row>
    <row r="228" ht="75" customHeight="1">
      <c r="A228" s="3" t="inlineStr">
        <is>
          <t>Malley</t>
        </is>
      </c>
      <c r="B228" s="3" t="inlineStr">
        <is>
          <t>malley</t>
        </is>
      </c>
      <c r="C228" s="4" t="inlineStr">
        <is>
          <t>https://irishfamilysurnames.com/product/malley/</t>
        </is>
      </c>
      <c r="D228" s="3">
        <f>IMAGE("https://irishfamilysurnames.com/wp-content/uploads/2021/04/malley-B-H.jpg")</f>
        <v/>
      </c>
      <c r="E228" s="4" t="inlineStr">
        <is>
          <t>https://irishfamilysurnames.com/wp-content/uploads/2021/04/malley-B-H.jpg</t>
        </is>
      </c>
    </row>
    <row r="229" ht="75" customHeight="1">
      <c r="A229" s="3" t="inlineStr">
        <is>
          <t>Malone</t>
        </is>
      </c>
      <c r="B229" s="3" t="inlineStr">
        <is>
          <t>malone</t>
        </is>
      </c>
      <c r="C229" s="4" t="inlineStr">
        <is>
          <t>https://irishfamilysurnames.com/product/malone/</t>
        </is>
      </c>
      <c r="D229" s="3">
        <f>IMAGE("https://irishfamilysurnames.com/wp-content/uploads/2021/04/malone-B-H.jpg")</f>
        <v/>
      </c>
      <c r="E229" s="4" t="inlineStr">
        <is>
          <t>https://irishfamilysurnames.com/wp-content/uploads/2021/04/malone-B-H.jpg</t>
        </is>
      </c>
    </row>
    <row r="230" ht="75" customHeight="1">
      <c r="A230" s="3" t="inlineStr">
        <is>
          <t>Manning</t>
        </is>
      </c>
      <c r="B230" s="3" t="inlineStr">
        <is>
          <t>manning</t>
        </is>
      </c>
      <c r="C230" s="4" t="inlineStr">
        <is>
          <t>https://irishfamilysurnames.com/product/manning/</t>
        </is>
      </c>
      <c r="D230" s="3">
        <f>IMAGE("https://irishfamilysurnames.com/wp-content/uploads/2021/04/manning-B-H.jpg")</f>
        <v/>
      </c>
      <c r="E230" s="4" t="inlineStr">
        <is>
          <t>https://irishfamilysurnames.com/wp-content/uploads/2021/04/manning-B-H.jpg</t>
        </is>
      </c>
    </row>
    <row r="231" ht="75" customHeight="1">
      <c r="A231" s="3" t="inlineStr">
        <is>
          <t>Mara</t>
        </is>
      </c>
      <c r="B231" s="3" t="inlineStr">
        <is>
          <t>mara</t>
        </is>
      </c>
      <c r="C231" s="4" t="inlineStr">
        <is>
          <t>https://irishfamilysurnames.com/product/mara/</t>
        </is>
      </c>
      <c r="D231" s="3">
        <f>IMAGE("https://irishfamilysurnames.com/wp-content/uploads/2021/04/mara-B-H.jpg")</f>
        <v/>
      </c>
      <c r="E231" s="4" t="inlineStr">
        <is>
          <t>https://irishfamilysurnames.com/wp-content/uploads/2021/04/mara-B-H.jpg</t>
        </is>
      </c>
    </row>
    <row r="232" ht="75" customHeight="1">
      <c r="A232" s="3" t="inlineStr">
        <is>
          <t>Martin</t>
        </is>
      </c>
      <c r="B232" s="3" t="inlineStr">
        <is>
          <t>martin</t>
        </is>
      </c>
      <c r="C232" s="4" t="inlineStr">
        <is>
          <t>https://irishfamilysurnames.com/product/martin/</t>
        </is>
      </c>
      <c r="D232" s="3">
        <f>IMAGE("https://irishfamilysurnames.com/wp-content/uploads/2021/04/martin-B-H.jpg")</f>
        <v/>
      </c>
      <c r="E232" s="4" t="inlineStr">
        <is>
          <t>https://irishfamilysurnames.com/wp-content/uploads/2021/04/martin-B-H.jpg</t>
        </is>
      </c>
    </row>
    <row r="233" ht="75" customHeight="1">
      <c r="A233" s="3" t="inlineStr">
        <is>
          <t>McAuley</t>
        </is>
      </c>
      <c r="B233" s="3" t="inlineStr">
        <is>
          <t>mcauley</t>
        </is>
      </c>
      <c r="C233" s="4" t="inlineStr">
        <is>
          <t>https://irishfamilysurnames.com/product/mcauley/</t>
        </is>
      </c>
      <c r="D233" s="3">
        <f>IMAGE("https://irishfamilysurnames.com/wp-content/uploads/2021/04/mcauley-B-H.jpg")</f>
        <v/>
      </c>
      <c r="E233" s="4" t="inlineStr">
        <is>
          <t>https://irishfamilysurnames.com/wp-content/uploads/2021/04/mcauley-B-H.jpg</t>
        </is>
      </c>
    </row>
    <row r="234" ht="75" customHeight="1">
      <c r="A234" s="3" t="inlineStr">
        <is>
          <t>McAwley</t>
        </is>
      </c>
      <c r="B234" s="3" t="inlineStr">
        <is>
          <t>mcawley</t>
        </is>
      </c>
      <c r="C234" s="4" t="inlineStr">
        <is>
          <t>https://irishfamilysurnames.com/product/mcawley/</t>
        </is>
      </c>
      <c r="D234" s="3">
        <f>IMAGE("https://irishfamilysurnames.com/wp-content/uploads/2021/04/mcawley-B-H.jpg")</f>
        <v/>
      </c>
      <c r="E234" s="4" t="inlineStr">
        <is>
          <t>https://irishfamilysurnames.com/wp-content/uploads/2021/04/mcawley-B-H.jpg</t>
        </is>
      </c>
    </row>
    <row r="235" ht="75" customHeight="1">
      <c r="A235" s="3" t="inlineStr">
        <is>
          <t>McCabe</t>
        </is>
      </c>
      <c r="B235" s="3" t="inlineStr">
        <is>
          <t>mccabe</t>
        </is>
      </c>
      <c r="C235" s="4" t="inlineStr">
        <is>
          <t>https://irishfamilysurnames.com/product/mccabe/</t>
        </is>
      </c>
      <c r="D235" s="3">
        <f>IMAGE("https://irishfamilysurnames.com/wp-content/uploads/2021/04/mccabe-B-H.jpg")</f>
        <v/>
      </c>
      <c r="E235" s="4" t="inlineStr">
        <is>
          <t>https://irishfamilysurnames.com/wp-content/uploads/2021/04/mccabe-B-H.jpg</t>
        </is>
      </c>
    </row>
    <row r="236" ht="75" customHeight="1">
      <c r="A236" s="3" t="inlineStr">
        <is>
          <t>McCann</t>
        </is>
      </c>
      <c r="B236" s="3" t="inlineStr">
        <is>
          <t>mccann</t>
        </is>
      </c>
      <c r="C236" s="4" t="inlineStr">
        <is>
          <t>https://irishfamilysurnames.com/product/mccann/</t>
        </is>
      </c>
      <c r="D236" s="3">
        <f>IMAGE("https://irishfamilysurnames.com/wp-content/uploads/2021/04/mccann-BH.jpg")</f>
        <v/>
      </c>
      <c r="E236" s="4" t="inlineStr">
        <is>
          <t>https://irishfamilysurnames.com/wp-content/uploads/2021/04/mccann-BH.jpg</t>
        </is>
      </c>
    </row>
    <row r="237" ht="75" customHeight="1">
      <c r="A237" s="3" t="inlineStr">
        <is>
          <t>McCarthy</t>
        </is>
      </c>
      <c r="B237" s="3" t="inlineStr">
        <is>
          <t>mccarthy</t>
        </is>
      </c>
      <c r="C237" s="4" t="inlineStr">
        <is>
          <t>https://irishfamilysurnames.com/product/mccarthy/</t>
        </is>
      </c>
      <c r="D237" s="3">
        <f>IMAGE("https://irishfamilysurnames.com/wp-content/uploads/2021/04/mccarthy-B-H.jpg")</f>
        <v/>
      </c>
      <c r="E237" s="4" t="inlineStr">
        <is>
          <t>https://irishfamilysurnames.com/wp-content/uploads/2021/04/mccarthy-B-H.jpg</t>
        </is>
      </c>
    </row>
    <row r="238" ht="75" customHeight="1">
      <c r="A238" s="3" t="inlineStr">
        <is>
          <t>McCormack</t>
        </is>
      </c>
      <c r="B238" s="3" t="inlineStr">
        <is>
          <t>mccormack</t>
        </is>
      </c>
      <c r="C238" s="4" t="inlineStr">
        <is>
          <t>https://irishfamilysurnames.com/product/mccormack/</t>
        </is>
      </c>
      <c r="D238" s="3">
        <f>IMAGE("https://irishfamilysurnames.com/wp-content/uploads/2021/04/mccormack-B-H.jpg")</f>
        <v/>
      </c>
      <c r="E238" s="4" t="inlineStr">
        <is>
          <t>https://irishfamilysurnames.com/wp-content/uploads/2021/04/mccormack-B-H.jpg</t>
        </is>
      </c>
    </row>
    <row r="239" ht="75" customHeight="1">
      <c r="A239" s="3" t="inlineStr">
        <is>
          <t>McCormick</t>
        </is>
      </c>
      <c r="B239" s="3" t="inlineStr">
        <is>
          <t>mccormick</t>
        </is>
      </c>
      <c r="C239" s="4" t="inlineStr">
        <is>
          <t>https://irishfamilysurnames.com/product/mccormick/</t>
        </is>
      </c>
      <c r="D239" s="3">
        <f>IMAGE("https://irishfamilysurnames.com/wp-content/uploads/2021/04/mccormick-B-H.jpg")</f>
        <v/>
      </c>
      <c r="E239" s="4" t="inlineStr">
        <is>
          <t>https://irishfamilysurnames.com/wp-content/uploads/2021/04/mccormick-B-H.jpg</t>
        </is>
      </c>
    </row>
    <row r="240" ht="75" customHeight="1">
      <c r="A240" s="3" t="inlineStr">
        <is>
          <t>McDermot</t>
        </is>
      </c>
      <c r="B240" s="3" t="inlineStr">
        <is>
          <t>mcdermot</t>
        </is>
      </c>
      <c r="C240" s="4" t="inlineStr">
        <is>
          <t>https://irishfamilysurnames.com/product/mcdermot/</t>
        </is>
      </c>
      <c r="D240" s="3">
        <f>IMAGE("https://irishfamilysurnames.com/wp-content/uploads/2021/04/mcdermot-B-H.jpg")</f>
        <v/>
      </c>
      <c r="E240" s="4" t="inlineStr">
        <is>
          <t>https://irishfamilysurnames.com/wp-content/uploads/2021/04/mcdermot-B-H.jpg</t>
        </is>
      </c>
    </row>
    <row r="241" ht="75" customHeight="1">
      <c r="A241" s="3" t="inlineStr">
        <is>
          <t>McDermott</t>
        </is>
      </c>
      <c r="B241" s="3" t="inlineStr">
        <is>
          <t>mcdermott</t>
        </is>
      </c>
      <c r="C241" s="4" t="inlineStr">
        <is>
          <t>https://irishfamilysurnames.com/product/mcdermott/</t>
        </is>
      </c>
      <c r="D241" s="3">
        <f>IMAGE("https://irishfamilysurnames.com/wp-content/uploads/2021/04/mcdermott-B-H.jpg")</f>
        <v/>
      </c>
      <c r="E241" s="4" t="inlineStr">
        <is>
          <t>https://irishfamilysurnames.com/wp-content/uploads/2021/04/mcdermott-B-H.jpg</t>
        </is>
      </c>
    </row>
    <row r="242" ht="75" customHeight="1">
      <c r="A242" s="3" t="inlineStr">
        <is>
          <t>McDonagh</t>
        </is>
      </c>
      <c r="B242" s="3" t="inlineStr">
        <is>
          <t>mcdonagh</t>
        </is>
      </c>
      <c r="C242" s="4" t="inlineStr">
        <is>
          <t>https://irishfamilysurnames.com/product/mcdonagh/</t>
        </is>
      </c>
      <c r="D242" s="3">
        <f>IMAGE("https://irishfamilysurnames.com/wp-content/uploads/2021/04/mcdonagh-B-H.jpg")</f>
        <v/>
      </c>
      <c r="E242" s="4" t="inlineStr">
        <is>
          <t>https://irishfamilysurnames.com/wp-content/uploads/2021/04/mcdonagh-B-H.jpg</t>
        </is>
      </c>
    </row>
    <row r="243" ht="75" customHeight="1">
      <c r="A243" s="3" t="inlineStr">
        <is>
          <t>McDonald</t>
        </is>
      </c>
      <c r="B243" s="3" t="inlineStr">
        <is>
          <t>mcdonald</t>
        </is>
      </c>
      <c r="C243" s="4" t="inlineStr">
        <is>
          <t>https://irishfamilysurnames.com/product/mcdonald/</t>
        </is>
      </c>
      <c r="D243" s="3">
        <f>IMAGE("https://irishfamilysurnames.com/wp-content/uploads/2021/04/mcdonald-B-H.jpg")</f>
        <v/>
      </c>
      <c r="E243" s="4" t="inlineStr">
        <is>
          <t>https://irishfamilysurnames.com/wp-content/uploads/2021/04/mcdonald-B-H.jpg</t>
        </is>
      </c>
    </row>
    <row r="244" ht="75" customHeight="1">
      <c r="A244" s="3" t="inlineStr">
        <is>
          <t>McDonnell</t>
        </is>
      </c>
      <c r="B244" s="3" t="inlineStr">
        <is>
          <t>mcdonnell</t>
        </is>
      </c>
      <c r="C244" s="4" t="inlineStr">
        <is>
          <t>https://irishfamilysurnames.com/product/mcdonnell/</t>
        </is>
      </c>
      <c r="D244" s="3">
        <f>IMAGE("https://irishfamilysurnames.com/wp-content/uploads/2021/04/mcdonnell-B-H.jpg")</f>
        <v/>
      </c>
      <c r="E244" s="4" t="inlineStr">
        <is>
          <t>https://irishfamilysurnames.com/wp-content/uploads/2021/04/mcdonnell-B-H.jpg</t>
        </is>
      </c>
    </row>
    <row r="245" ht="75" customHeight="1">
      <c r="A245" s="3" t="inlineStr">
        <is>
          <t>McDowell</t>
        </is>
      </c>
      <c r="B245" s="3" t="inlineStr">
        <is>
          <t>mcdowell</t>
        </is>
      </c>
      <c r="C245" s="4" t="inlineStr">
        <is>
          <t>https://irishfamilysurnames.com/product/mcdowell/</t>
        </is>
      </c>
      <c r="D245" s="3">
        <f>IMAGE("https://irishfamilysurnames.com/wp-content/uploads/2021/04/mcdowell-B-H.jpg")</f>
        <v/>
      </c>
      <c r="E245" s="4" t="inlineStr">
        <is>
          <t>https://irishfamilysurnames.com/wp-content/uploads/2021/04/mcdowell-B-H.jpg</t>
        </is>
      </c>
    </row>
    <row r="246" ht="75" customHeight="1">
      <c r="A246" s="3" t="inlineStr">
        <is>
          <t>McElroy</t>
        </is>
      </c>
      <c r="B246" s="3" t="inlineStr">
        <is>
          <t>mcelroy</t>
        </is>
      </c>
      <c r="C246" s="4" t="inlineStr">
        <is>
          <t>https://irishfamilysurnames.com/product/mcelroy/</t>
        </is>
      </c>
      <c r="D246" s="3">
        <f>IMAGE("https://irishfamilysurnames.com/wp-content/uploads/2021/04/mcelroy-B-H.jpg")</f>
        <v/>
      </c>
      <c r="E246" s="4" t="inlineStr">
        <is>
          <t>https://irishfamilysurnames.com/wp-content/uploads/2021/04/mcelroy-B-H.jpg</t>
        </is>
      </c>
    </row>
    <row r="247" ht="75" customHeight="1">
      <c r="A247" s="3" t="inlineStr">
        <is>
          <t>McEvoy</t>
        </is>
      </c>
      <c r="B247" s="3" t="inlineStr">
        <is>
          <t>mcevoy</t>
        </is>
      </c>
      <c r="C247" s="4" t="inlineStr">
        <is>
          <t>https://irishfamilysurnames.com/product/mcevoy/</t>
        </is>
      </c>
      <c r="D247" s="3">
        <f>IMAGE("https://irishfamilysurnames.com/wp-content/uploads/2021/04/mcevoy-B-H.jpg")</f>
        <v/>
      </c>
      <c r="E247" s="4" t="inlineStr">
        <is>
          <t>https://irishfamilysurnames.com/wp-content/uploads/2021/04/mcevoy-B-H.jpg</t>
        </is>
      </c>
    </row>
    <row r="248" ht="75" customHeight="1">
      <c r="A248" s="3" t="inlineStr">
        <is>
          <t>McGee</t>
        </is>
      </c>
      <c r="B248" s="3" t="inlineStr">
        <is>
          <t>mcgee</t>
        </is>
      </c>
      <c r="C248" s="4" t="inlineStr">
        <is>
          <t>https://irishfamilysurnames.com/product/mcgee/</t>
        </is>
      </c>
      <c r="D248" s="3">
        <f>IMAGE("https://irishfamilysurnames.com/wp-content/uploads/2021/04/mcgee-B-H.jpg")</f>
        <v/>
      </c>
      <c r="E248" s="4" t="inlineStr">
        <is>
          <t>https://irishfamilysurnames.com/wp-content/uploads/2021/04/mcgee-B-H.jpg</t>
        </is>
      </c>
    </row>
    <row r="249" ht="75" customHeight="1">
      <c r="A249" s="3" t="inlineStr">
        <is>
          <t>McGinley</t>
        </is>
      </c>
      <c r="B249" s="3" t="inlineStr">
        <is>
          <t>mcginley</t>
        </is>
      </c>
      <c r="C249" s="4" t="inlineStr">
        <is>
          <t>https://irishfamilysurnames.com/product/mcginley/</t>
        </is>
      </c>
      <c r="D249" s="3">
        <f>IMAGE("https://irishfamilysurnames.com/wp-content/uploads/2021/04/mcginley-B-H.jpg")</f>
        <v/>
      </c>
      <c r="E249" s="4" t="inlineStr">
        <is>
          <t>https://irishfamilysurnames.com/wp-content/uploads/2021/04/mcginley-B-H.jpg</t>
        </is>
      </c>
    </row>
    <row r="250" ht="75" customHeight="1">
      <c r="A250" s="3" t="inlineStr">
        <is>
          <t>McGovern</t>
        </is>
      </c>
      <c r="B250" s="3" t="inlineStr">
        <is>
          <t>mcgovern</t>
        </is>
      </c>
      <c r="C250" s="4" t="inlineStr">
        <is>
          <t>https://irishfamilysurnames.com/product/mcgovern/</t>
        </is>
      </c>
      <c r="D250" s="3">
        <f>IMAGE("https://irishfamilysurnames.com/wp-content/uploads/2021/04/mcgovern-B-H.jpg")</f>
        <v/>
      </c>
      <c r="E250" s="4" t="inlineStr">
        <is>
          <t>https://irishfamilysurnames.com/wp-content/uploads/2021/04/mcgovern-B-H.jpg</t>
        </is>
      </c>
    </row>
    <row r="251" ht="75" customHeight="1">
      <c r="A251" s="3" t="inlineStr">
        <is>
          <t>McGowan</t>
        </is>
      </c>
      <c r="B251" s="3" t="inlineStr">
        <is>
          <t>mcgowan</t>
        </is>
      </c>
      <c r="C251" s="4" t="inlineStr">
        <is>
          <t>https://irishfamilysurnames.com/product/mcgowan/</t>
        </is>
      </c>
      <c r="D251" s="3">
        <f>IMAGE("https://irishfamilysurnames.com/wp-content/uploads/2021/04/mcgowan-B-H.jpg")</f>
        <v/>
      </c>
      <c r="E251" s="4" t="inlineStr">
        <is>
          <t>https://irishfamilysurnames.com/wp-content/uploads/2021/04/mcgowan-B-H.jpg</t>
        </is>
      </c>
    </row>
    <row r="252" ht="75" customHeight="1">
      <c r="A252" s="3" t="inlineStr">
        <is>
          <t>McGrath</t>
        </is>
      </c>
      <c r="B252" s="3" t="inlineStr">
        <is>
          <t>mcgrath</t>
        </is>
      </c>
      <c r="C252" s="4" t="inlineStr">
        <is>
          <t>https://irishfamilysurnames.com/product/mcgrath/</t>
        </is>
      </c>
      <c r="D252" s="3">
        <f>IMAGE("https://irishfamilysurnames.com/wp-content/uploads/2021/04/mcgrath-B-H.jpg")</f>
        <v/>
      </c>
      <c r="E252" s="4" t="inlineStr">
        <is>
          <t>https://irishfamilysurnames.com/wp-content/uploads/2021/04/mcgrath-B-H.jpg</t>
        </is>
      </c>
    </row>
    <row r="253" ht="75" customHeight="1">
      <c r="A253" s="3" t="inlineStr">
        <is>
          <t>McGuinness</t>
        </is>
      </c>
      <c r="B253" s="3" t="inlineStr">
        <is>
          <t>mcguinness</t>
        </is>
      </c>
      <c r="C253" s="4" t="inlineStr">
        <is>
          <t>https://irishfamilysurnames.com/product/mcguinness/</t>
        </is>
      </c>
      <c r="D253" s="3">
        <f>IMAGE("https://irishfamilysurnames.com/wp-content/uploads/2021/04/mcguinness-B-H.jpg")</f>
        <v/>
      </c>
      <c r="E253" s="4" t="inlineStr">
        <is>
          <t>https://irishfamilysurnames.com/wp-content/uploads/2021/04/mcguinness-B-H.jpg</t>
        </is>
      </c>
    </row>
    <row r="254" ht="75" customHeight="1">
      <c r="A254" s="3" t="inlineStr">
        <is>
          <t>McGuire</t>
        </is>
      </c>
      <c r="B254" s="3" t="inlineStr">
        <is>
          <t>mcguire</t>
        </is>
      </c>
      <c r="C254" s="4" t="inlineStr">
        <is>
          <t>https://irishfamilysurnames.com/product/mcguire/</t>
        </is>
      </c>
      <c r="D254" s="3">
        <f>IMAGE("https://irishfamilysurnames.com/wp-content/uploads/2021/04/mcguire-B-H.jpg")</f>
        <v/>
      </c>
      <c r="E254" s="4" t="inlineStr">
        <is>
          <t>https://irishfamilysurnames.com/wp-content/uploads/2021/04/mcguire-B-H.jpg</t>
        </is>
      </c>
    </row>
    <row r="255" ht="75" customHeight="1">
      <c r="A255" s="3" t="inlineStr">
        <is>
          <t>McHugh</t>
        </is>
      </c>
      <c r="B255" s="3" t="inlineStr">
        <is>
          <t>mchugh</t>
        </is>
      </c>
      <c r="C255" s="4" t="inlineStr">
        <is>
          <t>https://irishfamilysurnames.com/product/mchugh/</t>
        </is>
      </c>
      <c r="D255" s="3">
        <f>IMAGE("https://irishfamilysurnames.com/wp-content/uploads/2021/04/mchugh-B-H.jpg")</f>
        <v/>
      </c>
      <c r="E255" s="4" t="inlineStr">
        <is>
          <t>https://irishfamilysurnames.com/wp-content/uploads/2021/04/mchugh-B-H.jpg</t>
        </is>
      </c>
    </row>
    <row r="256" ht="75" customHeight="1">
      <c r="A256" s="3" t="inlineStr">
        <is>
          <t>McInerney</t>
        </is>
      </c>
      <c r="B256" s="3" t="inlineStr">
        <is>
          <t>mcinerney</t>
        </is>
      </c>
      <c r="C256" s="4" t="inlineStr">
        <is>
          <t>https://irishfamilysurnames.com/product/mcinerney/</t>
        </is>
      </c>
      <c r="D256" s="3">
        <f>IMAGE("https://irishfamilysurnames.com/wp-content/uploads/2021/04/mcinerney-B-H.jpg")</f>
        <v/>
      </c>
      <c r="E256" s="4" t="inlineStr">
        <is>
          <t>https://irishfamilysurnames.com/wp-content/uploads/2021/04/mcinerney-B-H.jpg</t>
        </is>
      </c>
    </row>
    <row r="257" ht="75" customHeight="1">
      <c r="A257" s="3" t="inlineStr">
        <is>
          <t>McKee</t>
        </is>
      </c>
      <c r="B257" s="3" t="inlineStr">
        <is>
          <t>mckee</t>
        </is>
      </c>
      <c r="C257" s="4" t="inlineStr">
        <is>
          <t>https://irishfamilysurnames.com/product/mckee/</t>
        </is>
      </c>
      <c r="D257" s="3">
        <f>IMAGE("https://irishfamilysurnames.com/wp-content/uploads/2021/04/mckee-B-H.jpg")</f>
        <v/>
      </c>
      <c r="E257" s="4" t="inlineStr">
        <is>
          <t>https://irishfamilysurnames.com/wp-content/uploads/2021/04/mckee-B-H.jpg</t>
        </is>
      </c>
    </row>
    <row r="258" ht="75" customHeight="1">
      <c r="A258" s="3" t="inlineStr">
        <is>
          <t>McKenna</t>
        </is>
      </c>
      <c r="B258" s="3" t="inlineStr">
        <is>
          <t>mckenna</t>
        </is>
      </c>
      <c r="C258" s="4" t="inlineStr">
        <is>
          <t>https://irishfamilysurnames.com/product/mckenna/</t>
        </is>
      </c>
      <c r="D258" s="3">
        <f>IMAGE("https://irishfamilysurnames.com/wp-content/uploads/2021/04/mckenna-B-H.jpg")</f>
        <v/>
      </c>
      <c r="E258" s="4" t="inlineStr">
        <is>
          <t>https://irishfamilysurnames.com/wp-content/uploads/2021/04/mckenna-B-H.jpg</t>
        </is>
      </c>
    </row>
    <row r="259" ht="75" customHeight="1">
      <c r="A259" s="3" t="inlineStr">
        <is>
          <t>McKeogh</t>
        </is>
      </c>
      <c r="B259" s="3" t="inlineStr">
        <is>
          <t>mckeogh</t>
        </is>
      </c>
      <c r="C259" s="4" t="inlineStr">
        <is>
          <t>https://irishfamilysurnames.com/product/mckeogh/</t>
        </is>
      </c>
      <c r="D259" s="3">
        <f>IMAGE("https://irishfamilysurnames.com/wp-content/uploads/2021/04/mckeogh-B-H.jpg")</f>
        <v/>
      </c>
      <c r="E259" s="4" t="inlineStr">
        <is>
          <t>https://irishfamilysurnames.com/wp-content/uploads/2021/04/mckeogh-B-H.jpg</t>
        </is>
      </c>
    </row>
    <row r="260" ht="75" customHeight="1">
      <c r="A260" s="3" t="inlineStr">
        <is>
          <t>McLaughlin</t>
        </is>
      </c>
      <c r="B260" s="3" t="inlineStr">
        <is>
          <t>mclaughlin</t>
        </is>
      </c>
      <c r="C260" s="4" t="inlineStr">
        <is>
          <t>https://irishfamilysurnames.com/product/mclaughlin/</t>
        </is>
      </c>
      <c r="D260" s="3">
        <f>IMAGE("https://irishfamilysurnames.com/wp-content/uploads/2021/04/mclaughlin-B-H.jpg")</f>
        <v/>
      </c>
      <c r="E260" s="4" t="inlineStr">
        <is>
          <t>https://irishfamilysurnames.com/wp-content/uploads/2021/04/mclaughlin-B-H.jpg</t>
        </is>
      </c>
    </row>
    <row r="261" ht="75" customHeight="1">
      <c r="A261" s="3" t="inlineStr">
        <is>
          <t>McLoughlin</t>
        </is>
      </c>
      <c r="B261" s="3" t="inlineStr">
        <is>
          <t>mcloughlin</t>
        </is>
      </c>
      <c r="C261" s="4" t="inlineStr">
        <is>
          <t>https://irishfamilysurnames.com/product/mcloughlin/</t>
        </is>
      </c>
      <c r="D261" s="3">
        <f>IMAGE("https://irishfamilysurnames.com/wp-content/uploads/2021/04/mcloughlin-B-H.jpg")</f>
        <v/>
      </c>
      <c r="E261" s="4" t="inlineStr">
        <is>
          <t>https://irishfamilysurnames.com/wp-content/uploads/2021/04/mcloughlin-B-H.jpg</t>
        </is>
      </c>
    </row>
    <row r="262" ht="75" customHeight="1">
      <c r="A262" s="3" t="inlineStr">
        <is>
          <t>McMahon</t>
        </is>
      </c>
      <c r="B262" s="3" t="inlineStr">
        <is>
          <t>mcmahon</t>
        </is>
      </c>
      <c r="C262" s="4" t="inlineStr">
        <is>
          <t>https://irishfamilysurnames.com/product/mcmahon/</t>
        </is>
      </c>
      <c r="D262" s="3">
        <f>IMAGE("https://irishfamilysurnames.com/wp-content/uploads/2021/04/mcmahon-B-H.jpg")</f>
        <v/>
      </c>
      <c r="E262" s="4" t="inlineStr">
        <is>
          <t>https://irishfamilysurnames.com/wp-content/uploads/2021/04/mcmahon-B-H.jpg</t>
        </is>
      </c>
    </row>
    <row r="263" ht="75" customHeight="1">
      <c r="A263" s="3" t="inlineStr">
        <is>
          <t>McManus</t>
        </is>
      </c>
      <c r="B263" s="3" t="inlineStr">
        <is>
          <t>mcmanus</t>
        </is>
      </c>
      <c r="C263" s="4" t="inlineStr">
        <is>
          <t>https://irishfamilysurnames.com/product/mcmanus/</t>
        </is>
      </c>
      <c r="D263" s="3">
        <f>IMAGE("https://irishfamilysurnames.com/wp-content/uploads/2021/04/mcmanus-B-H.jpg")</f>
        <v/>
      </c>
      <c r="E263" s="4" t="inlineStr">
        <is>
          <t>https://irishfamilysurnames.com/wp-content/uploads/2021/04/mcmanus-B-H.jpg</t>
        </is>
      </c>
    </row>
    <row r="264" ht="75" customHeight="1">
      <c r="A264" s="3" t="inlineStr">
        <is>
          <t>McNally</t>
        </is>
      </c>
      <c r="B264" s="3" t="inlineStr">
        <is>
          <t>mcnally</t>
        </is>
      </c>
      <c r="C264" s="4" t="inlineStr">
        <is>
          <t>https://irishfamilysurnames.com/product/mcnally/</t>
        </is>
      </c>
      <c r="D264" s="3">
        <f>IMAGE("https://irishfamilysurnames.com/wp-content/uploads/2021/04/mcnally-B-H.jpg")</f>
        <v/>
      </c>
      <c r="E264" s="4" t="inlineStr">
        <is>
          <t>https://irishfamilysurnames.com/wp-content/uploads/2021/04/mcnally-B-H.jpg</t>
        </is>
      </c>
    </row>
    <row r="265" ht="75" customHeight="1">
      <c r="A265" s="3" t="inlineStr">
        <is>
          <t>McNamara</t>
        </is>
      </c>
      <c r="B265" s="3" t="inlineStr">
        <is>
          <t>mcnamara</t>
        </is>
      </c>
      <c r="C265" s="4" t="inlineStr">
        <is>
          <t>https://irishfamilysurnames.com/product/mcnamara/</t>
        </is>
      </c>
      <c r="D265" s="3">
        <f>IMAGE("https://irishfamilysurnames.com/wp-content/uploads/2021/04/mcnamara-B-H.jpg")</f>
        <v/>
      </c>
      <c r="E265" s="4" t="inlineStr">
        <is>
          <t>https://irishfamilysurnames.com/wp-content/uploads/2021/04/mcnamara-B-H.jpg</t>
        </is>
      </c>
    </row>
    <row r="266" ht="75" customHeight="1">
      <c r="A266" s="3" t="inlineStr">
        <is>
          <t>McSweeney</t>
        </is>
      </c>
      <c r="B266" s="3" t="inlineStr">
        <is>
          <t>mcsweeney</t>
        </is>
      </c>
      <c r="C266" s="4" t="inlineStr">
        <is>
          <t>https://irishfamilysurnames.com/product/mcsweeney/</t>
        </is>
      </c>
      <c r="D266" s="3">
        <f>IMAGE("https://irishfamilysurnames.com/wp-content/uploads/2021/04/mcsweeney-B-H.jpg")</f>
        <v/>
      </c>
      <c r="E266" s="4" t="inlineStr">
        <is>
          <t>https://irishfamilysurnames.com/wp-content/uploads/2021/04/mcsweeney-B-H.jpg</t>
        </is>
      </c>
    </row>
    <row r="267" ht="75" customHeight="1">
      <c r="A267" s="3" t="inlineStr">
        <is>
          <t>Meagher</t>
        </is>
      </c>
      <c r="B267" s="3" t="inlineStr">
        <is>
          <t>meagher</t>
        </is>
      </c>
      <c r="C267" s="4" t="inlineStr">
        <is>
          <t>https://irishfamilysurnames.com/product/meagher/</t>
        </is>
      </c>
      <c r="D267" s="3">
        <f>IMAGE("https://irishfamilysurnames.com/wp-content/uploads/2021/04/meagher-B-H.jpg")</f>
        <v/>
      </c>
      <c r="E267" s="4" t="inlineStr">
        <is>
          <t>https://irishfamilysurnames.com/wp-content/uploads/2021/04/meagher-B-H.jpg</t>
        </is>
      </c>
    </row>
    <row r="268" ht="75" customHeight="1">
      <c r="A268" s="3" t="inlineStr">
        <is>
          <t>Meara</t>
        </is>
      </c>
      <c r="B268" s="3" t="inlineStr">
        <is>
          <t>meara</t>
        </is>
      </c>
      <c r="C268" s="4" t="inlineStr">
        <is>
          <t>https://irishfamilysurnames.com/product/meara/</t>
        </is>
      </c>
      <c r="D268" s="3">
        <f>IMAGE("https://irishfamilysurnames.com/wp-content/uploads/2021/04/meara-B-H.jpg")</f>
        <v/>
      </c>
      <c r="E268" s="4" t="inlineStr">
        <is>
          <t>https://irishfamilysurnames.com/wp-content/uploads/2021/04/meara-B-H.jpg</t>
        </is>
      </c>
    </row>
    <row r="269" ht="75" customHeight="1">
      <c r="A269" s="3" t="inlineStr">
        <is>
          <t>Meehan</t>
        </is>
      </c>
      <c r="B269" s="3" t="inlineStr">
        <is>
          <t>meehan</t>
        </is>
      </c>
      <c r="C269" s="4" t="inlineStr">
        <is>
          <t>https://irishfamilysurnames.com/product/meehan/</t>
        </is>
      </c>
      <c r="D269" s="3">
        <f>IMAGE("https://irishfamilysurnames.com/wp-content/uploads/2021/04/meehan-B-H.jpg")</f>
        <v/>
      </c>
      <c r="E269" s="4" t="inlineStr">
        <is>
          <t>https://irishfamilysurnames.com/wp-content/uploads/2021/04/meehan-B-H.jpg</t>
        </is>
      </c>
    </row>
    <row r="270" ht="75" customHeight="1">
      <c r="A270" s="3" t="inlineStr">
        <is>
          <t>Miller</t>
        </is>
      </c>
      <c r="B270" s="3" t="inlineStr">
        <is>
          <t>miller</t>
        </is>
      </c>
      <c r="C270" s="4" t="inlineStr">
        <is>
          <t>https://irishfamilysurnames.com/product/miller/</t>
        </is>
      </c>
      <c r="D270" s="3">
        <f>IMAGE("https://irishfamilysurnames.com/wp-content/uploads/2021/04/miller-B-H.jpg")</f>
        <v/>
      </c>
      <c r="E270" s="4" t="inlineStr">
        <is>
          <t>https://irishfamilysurnames.com/wp-content/uploads/2021/04/miller-B-H.jpg</t>
        </is>
      </c>
    </row>
    <row r="271" ht="75" customHeight="1">
      <c r="A271" s="3" t="inlineStr">
        <is>
          <t>Mitchell</t>
        </is>
      </c>
      <c r="B271" s="3" t="inlineStr">
        <is>
          <t>mitchell</t>
        </is>
      </c>
      <c r="C271" s="4" t="inlineStr">
        <is>
          <t>https://irishfamilysurnames.com/product/mitchell/</t>
        </is>
      </c>
      <c r="D271" s="3">
        <f>IMAGE("https://irishfamilysurnames.com/wp-content/uploads/2021/04/mitchell-B-H.jpg")</f>
        <v/>
      </c>
      <c r="E271" s="4" t="inlineStr">
        <is>
          <t>https://irishfamilysurnames.com/wp-content/uploads/2021/04/mitchell-B-H.jpg</t>
        </is>
      </c>
    </row>
    <row r="272" ht="75" customHeight="1">
      <c r="A272" s="3" t="inlineStr">
        <is>
          <t>Molloy</t>
        </is>
      </c>
      <c r="B272" s="3" t="inlineStr">
        <is>
          <t>molloy</t>
        </is>
      </c>
      <c r="C272" s="4" t="inlineStr">
        <is>
          <t>https://irishfamilysurnames.com/product/molloy/</t>
        </is>
      </c>
      <c r="D272" s="3">
        <f>IMAGE("https://irishfamilysurnames.com/wp-content/uploads/2021/04/molloy-B-H.jpg")</f>
        <v/>
      </c>
      <c r="E272" s="4" t="inlineStr">
        <is>
          <t>https://irishfamilysurnames.com/wp-content/uploads/2021/04/molloy-B-H.jpg</t>
        </is>
      </c>
    </row>
    <row r="273" ht="75" customHeight="1">
      <c r="A273" s="3" t="inlineStr">
        <is>
          <t>Moloney</t>
        </is>
      </c>
      <c r="B273" s="3" t="inlineStr">
        <is>
          <t>moloney</t>
        </is>
      </c>
      <c r="C273" s="4" t="inlineStr">
        <is>
          <t>https://irishfamilysurnames.com/product/moloney/</t>
        </is>
      </c>
      <c r="D273" s="3">
        <f>IMAGE("https://irishfamilysurnames.com/wp-content/uploads/2021/04/moloney-B-H.jpg")</f>
        <v/>
      </c>
      <c r="E273" s="4" t="inlineStr">
        <is>
          <t>https://irishfamilysurnames.com/wp-content/uploads/2021/04/moloney-B-H.jpg</t>
        </is>
      </c>
    </row>
    <row r="274" ht="75" customHeight="1">
      <c r="A274" s="3" t="inlineStr">
        <is>
          <t>Monaghan</t>
        </is>
      </c>
      <c r="B274" s="3" t="inlineStr">
        <is>
          <t>monaghan</t>
        </is>
      </c>
      <c r="C274" s="4" t="inlineStr">
        <is>
          <t>https://irishfamilysurnames.com/product/monaghan/</t>
        </is>
      </c>
      <c r="D274" s="3">
        <f>IMAGE("https://irishfamilysurnames.com/wp-content/uploads/2021/04/monaghan-B-H.jpg")</f>
        <v/>
      </c>
      <c r="E274" s="4" t="inlineStr">
        <is>
          <t>https://irishfamilysurnames.com/wp-content/uploads/2021/04/monaghan-B-H.jpg</t>
        </is>
      </c>
    </row>
    <row r="275" ht="75" customHeight="1">
      <c r="A275" s="3" t="inlineStr">
        <is>
          <t>Monahan</t>
        </is>
      </c>
      <c r="B275" s="3" t="inlineStr">
        <is>
          <t>monahan</t>
        </is>
      </c>
      <c r="C275" s="4" t="inlineStr">
        <is>
          <t>https://irishfamilysurnames.com/product/monahan/</t>
        </is>
      </c>
      <c r="D275" s="3">
        <f>IMAGE("https://irishfamilysurnames.com/wp-content/uploads/2021/04/monahan-B-H.jpg")</f>
        <v/>
      </c>
      <c r="E275" s="4" t="inlineStr">
        <is>
          <t>https://irishfamilysurnames.com/wp-content/uploads/2021/04/monahan-B-H.jpg</t>
        </is>
      </c>
    </row>
    <row r="276" ht="75" customHeight="1">
      <c r="A276" s="3" t="inlineStr">
        <is>
          <t>Mooney</t>
        </is>
      </c>
      <c r="B276" s="3" t="inlineStr">
        <is>
          <t>mooney</t>
        </is>
      </c>
      <c r="C276" s="4" t="inlineStr">
        <is>
          <t>https://irishfamilysurnames.com/product/mooney/</t>
        </is>
      </c>
      <c r="D276" s="3">
        <f>IMAGE("https://irishfamilysurnames.com/wp-content/uploads/2021/04/mooney-B-H.jpg")</f>
        <v/>
      </c>
      <c r="E276" s="4" t="inlineStr">
        <is>
          <t>https://irishfamilysurnames.com/wp-content/uploads/2021/04/mooney-B-H.jpg</t>
        </is>
      </c>
    </row>
    <row r="277" ht="75" customHeight="1">
      <c r="A277" s="3" t="inlineStr">
        <is>
          <t>Moore</t>
        </is>
      </c>
      <c r="B277" s="3" t="inlineStr">
        <is>
          <t>moore</t>
        </is>
      </c>
      <c r="C277" s="4" t="inlineStr">
        <is>
          <t>https://irishfamilysurnames.com/product/moore/</t>
        </is>
      </c>
      <c r="D277" s="3">
        <f>IMAGE("https://irishfamilysurnames.com/wp-content/uploads/2021/04/moore-B-H.jpg")</f>
        <v/>
      </c>
      <c r="E277" s="4" t="inlineStr">
        <is>
          <t>https://irishfamilysurnames.com/wp-content/uploads/2021/04/moore-B-H.jpg</t>
        </is>
      </c>
    </row>
    <row r="278" ht="75" customHeight="1">
      <c r="A278" s="3" t="inlineStr">
        <is>
          <t>Moran</t>
        </is>
      </c>
      <c r="B278" s="3" t="inlineStr">
        <is>
          <t>moran</t>
        </is>
      </c>
      <c r="C278" s="4" t="inlineStr">
        <is>
          <t>https://irishfamilysurnames.com/product/moran/</t>
        </is>
      </c>
      <c r="D278" s="3">
        <f>IMAGE("https://irishfamilysurnames.com/wp-content/uploads/2021/04/moran-B-H.jpg")</f>
        <v/>
      </c>
      <c r="E278" s="4" t="inlineStr">
        <is>
          <t>https://irishfamilysurnames.com/wp-content/uploads/2021/04/moran-B-H.jpg</t>
        </is>
      </c>
    </row>
    <row r="279" ht="75" customHeight="1">
      <c r="A279" s="3" t="inlineStr">
        <is>
          <t>Moriarty</t>
        </is>
      </c>
      <c r="B279" s="3" t="inlineStr">
        <is>
          <t>moriarty</t>
        </is>
      </c>
      <c r="C279" s="4" t="inlineStr">
        <is>
          <t>https://irishfamilysurnames.com/product/moriarty/</t>
        </is>
      </c>
      <c r="D279" s="3">
        <f>IMAGE("https://irishfamilysurnames.com/wp-content/uploads/2021/04/moriarty-B-H.jpg")</f>
        <v/>
      </c>
      <c r="E279" s="4" t="inlineStr">
        <is>
          <t>https://irishfamilysurnames.com/wp-content/uploads/2021/04/moriarty-B-H.jpg</t>
        </is>
      </c>
    </row>
    <row r="280" ht="75" customHeight="1">
      <c r="A280" s="3" t="inlineStr">
        <is>
          <t>Morris</t>
        </is>
      </c>
      <c r="B280" s="3" t="inlineStr">
        <is>
          <t>morris</t>
        </is>
      </c>
      <c r="C280" s="4" t="inlineStr">
        <is>
          <t>https://irishfamilysurnames.com/product/morris/</t>
        </is>
      </c>
      <c r="D280" s="3">
        <f>IMAGE("https://irishfamilysurnames.com/wp-content/uploads/2021/04/morris-B-H.jpg")</f>
        <v/>
      </c>
      <c r="E280" s="4" t="inlineStr">
        <is>
          <t>https://irishfamilysurnames.com/wp-content/uploads/2021/04/morris-B-H.jpg</t>
        </is>
      </c>
    </row>
    <row r="281" ht="75" customHeight="1">
      <c r="A281" s="3" t="inlineStr">
        <is>
          <t>Mullan</t>
        </is>
      </c>
      <c r="B281" s="3" t="inlineStr">
        <is>
          <t>mullan</t>
        </is>
      </c>
      <c r="C281" s="4" t="inlineStr">
        <is>
          <t>https://irishfamilysurnames.com/product/mullan/</t>
        </is>
      </c>
      <c r="D281" s="3">
        <f>IMAGE("https://irishfamilysurnames.com/wp-content/uploads/2021/04/mullan-B-H.jpg")</f>
        <v/>
      </c>
      <c r="E281" s="4" t="inlineStr">
        <is>
          <t>https://irishfamilysurnames.com/wp-content/uploads/2021/04/mullan-B-H.jpg</t>
        </is>
      </c>
    </row>
    <row r="282" ht="75" customHeight="1">
      <c r="A282" s="3" t="inlineStr">
        <is>
          <t>Mullen</t>
        </is>
      </c>
      <c r="B282" s="3" t="inlineStr">
        <is>
          <t>mullen</t>
        </is>
      </c>
      <c r="C282" s="4" t="inlineStr">
        <is>
          <t>https://irishfamilysurnames.com/product/mullen/</t>
        </is>
      </c>
      <c r="D282" s="3">
        <f>IMAGE("https://irishfamilysurnames.com/wp-content/uploads/2021/04/mullen-B-H.jpg")</f>
        <v/>
      </c>
      <c r="E282" s="4" t="inlineStr">
        <is>
          <t>https://irishfamilysurnames.com/wp-content/uploads/2021/04/mullen-B-H.jpg</t>
        </is>
      </c>
    </row>
    <row r="283" ht="75" customHeight="1">
      <c r="A283" s="3" t="inlineStr">
        <is>
          <t>Mulligan</t>
        </is>
      </c>
      <c r="B283" s="3" t="inlineStr">
        <is>
          <t>mulligan</t>
        </is>
      </c>
      <c r="C283" s="4" t="inlineStr">
        <is>
          <t>https://irishfamilysurnames.com/product/mulligan/</t>
        </is>
      </c>
      <c r="D283" s="3">
        <f>IMAGE("https://irishfamilysurnames.com/wp-content/uploads/2021/04/mulligan-B-H.jpg")</f>
        <v/>
      </c>
      <c r="E283" s="4" t="inlineStr">
        <is>
          <t>https://irishfamilysurnames.com/wp-content/uploads/2021/04/mulligan-B-H.jpg</t>
        </is>
      </c>
    </row>
    <row r="284" ht="75" customHeight="1">
      <c r="A284" s="3" t="inlineStr">
        <is>
          <t>Murphy</t>
        </is>
      </c>
      <c r="B284" s="3" t="inlineStr">
        <is>
          <t>murphy</t>
        </is>
      </c>
      <c r="C284" s="4" t="inlineStr">
        <is>
          <t>https://irishfamilysurnames.com/product/murphy/</t>
        </is>
      </c>
      <c r="D284" s="3">
        <f>IMAGE("https://irishfamilysurnames.com/wp-content/uploads/2021/04/murphy-B-H.jpg")</f>
        <v/>
      </c>
      <c r="E284" s="4" t="inlineStr">
        <is>
          <t>https://irishfamilysurnames.com/wp-content/uploads/2021/04/murphy-B-H.jpg</t>
        </is>
      </c>
    </row>
    <row r="285" ht="75" customHeight="1">
      <c r="A285" s="3" t="inlineStr">
        <is>
          <t>Murray</t>
        </is>
      </c>
      <c r="B285" s="3" t="inlineStr">
        <is>
          <t>murray</t>
        </is>
      </c>
      <c r="C285" s="4" t="inlineStr">
        <is>
          <t>https://irishfamilysurnames.com/product/murray/</t>
        </is>
      </c>
      <c r="D285" s="3">
        <f>IMAGE("https://irishfamilysurnames.com/wp-content/uploads/2021/04/murray-B-H.jpg")</f>
        <v/>
      </c>
      <c r="E285" s="4" t="inlineStr">
        <is>
          <t>https://irishfamilysurnames.com/wp-content/uploads/2021/04/murray-B-H.jpg</t>
        </is>
      </c>
    </row>
    <row r="286" ht="75" customHeight="1">
      <c r="A286" s="3" t="inlineStr">
        <is>
          <t>Nally</t>
        </is>
      </c>
      <c r="B286" s="3" t="inlineStr">
        <is>
          <t>nally</t>
        </is>
      </c>
      <c r="C286" s="4" t="inlineStr">
        <is>
          <t>https://irishfamilysurnames.com/product/nally/</t>
        </is>
      </c>
      <c r="D286" s="3">
        <f>IMAGE("https://irishfamilysurnames.com/wp-content/uploads/2021/04/nally-B-H.jpg")</f>
        <v/>
      </c>
      <c r="E286" s="4" t="inlineStr">
        <is>
          <t>https://irishfamilysurnames.com/wp-content/uploads/2021/04/nally-B-H.jpg</t>
        </is>
      </c>
    </row>
    <row r="287" ht="75" customHeight="1">
      <c r="A287" s="3" t="inlineStr">
        <is>
          <t>Neill</t>
        </is>
      </c>
      <c r="B287" s="3" t="inlineStr">
        <is>
          <t>neill</t>
        </is>
      </c>
      <c r="C287" s="4" t="inlineStr">
        <is>
          <t>https://irishfamilysurnames.com/product/neill/</t>
        </is>
      </c>
      <c r="D287" s="3">
        <f>IMAGE("https://irishfamilysurnames.com/wp-content/uploads/2021/04/neill-B-H.jpg")</f>
        <v/>
      </c>
      <c r="E287" s="4" t="inlineStr">
        <is>
          <t>https://irishfamilysurnames.com/wp-content/uploads/2021/04/neill-B-H.jpg</t>
        </is>
      </c>
    </row>
    <row r="288" ht="75" customHeight="1">
      <c r="A288" s="3" t="inlineStr">
        <is>
          <t>Nolan</t>
        </is>
      </c>
      <c r="B288" s="3" t="inlineStr">
        <is>
          <t>nolan</t>
        </is>
      </c>
      <c r="C288" s="4" t="inlineStr">
        <is>
          <t>https://irishfamilysurnames.com/product/nolan/</t>
        </is>
      </c>
      <c r="D288" s="3">
        <f>IMAGE("https://irishfamilysurnames.com/wp-content/uploads/2021/04/nolan-B-H.jpg")</f>
        <v/>
      </c>
      <c r="E288" s="4" t="inlineStr">
        <is>
          <t>https://irishfamilysurnames.com/wp-content/uploads/2021/04/nolan-B-H.jpg</t>
        </is>
      </c>
    </row>
    <row r="289" ht="75" customHeight="1">
      <c r="A289" s="3" t="inlineStr">
        <is>
          <t>Nugent</t>
        </is>
      </c>
      <c r="B289" s="3" t="inlineStr">
        <is>
          <t>nugent</t>
        </is>
      </c>
      <c r="C289" s="4" t="inlineStr">
        <is>
          <t>https://irishfamilysurnames.com/product/nugent/</t>
        </is>
      </c>
      <c r="D289" s="3">
        <f>IMAGE("https://irishfamilysurnames.com/wp-content/uploads/2021/04/nugent-B-H.jpg")</f>
        <v/>
      </c>
      <c r="E289" s="4" t="inlineStr">
        <is>
          <t>https://irishfamilysurnames.com/wp-content/uploads/2021/04/nugent-B-H.jpg</t>
        </is>
      </c>
    </row>
    <row r="290" ht="75" customHeight="1">
      <c r="A290" s="3" t="inlineStr">
        <is>
          <t>Oboyle</t>
        </is>
      </c>
      <c r="B290" s="3" t="inlineStr">
        <is>
          <t>oboyle</t>
        </is>
      </c>
      <c r="C290" s="4" t="inlineStr">
        <is>
          <t>https://irishfamilysurnames.com/product/oboyle/</t>
        </is>
      </c>
      <c r="D290" s="3">
        <f>IMAGE("https://irishfamilysurnames.com/wp-content/uploads/2021/04/o-boyle-B-H.jpg")</f>
        <v/>
      </c>
      <c r="E290" s="4" t="inlineStr">
        <is>
          <t>https://irishfamilysurnames.com/wp-content/uploads/2021/04/o-boyle-B-H.jpg</t>
        </is>
      </c>
    </row>
    <row r="291" ht="75" customHeight="1">
      <c r="A291" s="3" t="inlineStr">
        <is>
          <t>Obrien</t>
        </is>
      </c>
      <c r="B291" s="3" t="inlineStr">
        <is>
          <t>obrien</t>
        </is>
      </c>
      <c r="C291" s="4" t="inlineStr">
        <is>
          <t>https://irishfamilysurnames.com/product/obrien/</t>
        </is>
      </c>
      <c r="D291" s="3">
        <f>IMAGE("https://irishfamilysurnames.com/wp-content/uploads/2021/04/o-brien-B-H.jpg")</f>
        <v/>
      </c>
      <c r="E291" s="4" t="inlineStr">
        <is>
          <t>https://irishfamilysurnames.com/wp-content/uploads/2021/04/o-brien-B-H.jpg</t>
        </is>
      </c>
    </row>
    <row r="292" ht="75" customHeight="1">
      <c r="A292" s="3" t="inlineStr">
        <is>
          <t>Obyrne</t>
        </is>
      </c>
      <c r="B292" s="3" t="inlineStr">
        <is>
          <t>obyrne</t>
        </is>
      </c>
      <c r="C292" s="4" t="inlineStr">
        <is>
          <t>https://irishfamilysurnames.com/product/obyrne/</t>
        </is>
      </c>
      <c r="D292" s="3">
        <f>IMAGE("https://irishfamilysurnames.com/wp-content/uploads/2021/04/o-byrne-B-H.jpg")</f>
        <v/>
      </c>
      <c r="E292" s="4" t="inlineStr">
        <is>
          <t>https://irishfamilysurnames.com/wp-content/uploads/2021/04/o-byrne-B-H.jpg</t>
        </is>
      </c>
    </row>
    <row r="293" ht="75" customHeight="1">
      <c r="A293" s="3" t="inlineStr">
        <is>
          <t>Ocallaghan</t>
        </is>
      </c>
      <c r="B293" s="3" t="inlineStr">
        <is>
          <t>ocallaghan</t>
        </is>
      </c>
      <c r="C293" s="4" t="inlineStr">
        <is>
          <t>https://irishfamilysurnames.com/product/ocallaghan/</t>
        </is>
      </c>
      <c r="D293" s="3">
        <f>IMAGE("https://irishfamilysurnames.com/wp-content/uploads/2021/04/o-callaghan-B-H.jpg")</f>
        <v/>
      </c>
      <c r="E293" s="4" t="inlineStr">
        <is>
          <t>https://irishfamilysurnames.com/wp-content/uploads/2021/04/o-callaghan-B-H.jpg</t>
        </is>
      </c>
    </row>
    <row r="294" ht="75" customHeight="1">
      <c r="A294" s="3" t="inlineStr">
        <is>
          <t>Ocarroll</t>
        </is>
      </c>
      <c r="B294" s="3" t="inlineStr">
        <is>
          <t>ocarroll</t>
        </is>
      </c>
      <c r="C294" s="4" t="inlineStr">
        <is>
          <t>https://irishfamilysurnames.com/product/ocarroll/</t>
        </is>
      </c>
      <c r="D294" s="3">
        <f>IMAGE("https://irishfamilysurnames.com/wp-content/uploads/2021/04/o-carroll-B-H.jpg")</f>
        <v/>
      </c>
      <c r="E294" s="4" t="inlineStr">
        <is>
          <t>https://irishfamilysurnames.com/wp-content/uploads/2021/04/o-carroll-B-H.jpg</t>
        </is>
      </c>
    </row>
    <row r="295" ht="75" customHeight="1">
      <c r="A295" s="3" t="inlineStr">
        <is>
          <t>Oconnell</t>
        </is>
      </c>
      <c r="B295" s="3" t="inlineStr">
        <is>
          <t>oconnell</t>
        </is>
      </c>
      <c r="C295" s="4" t="inlineStr">
        <is>
          <t>https://irishfamilysurnames.com/product/oconnell/</t>
        </is>
      </c>
      <c r="D295" s="3">
        <f>IMAGE("https://irishfamilysurnames.com/wp-content/uploads/2021/04/o-connell-B-H.jpg")</f>
        <v/>
      </c>
      <c r="E295" s="4" t="inlineStr">
        <is>
          <t>https://irishfamilysurnames.com/wp-content/uploads/2021/04/o-connell-B-H.jpg</t>
        </is>
      </c>
    </row>
    <row r="296" ht="75" customHeight="1">
      <c r="A296" s="3" t="inlineStr">
        <is>
          <t>Oconnor</t>
        </is>
      </c>
      <c r="B296" s="3" t="inlineStr">
        <is>
          <t>oconnor</t>
        </is>
      </c>
      <c r="C296" s="4" t="inlineStr">
        <is>
          <t>https://irishfamilysurnames.com/product/oconnor/</t>
        </is>
      </c>
      <c r="D296" s="3">
        <f>IMAGE("https://irishfamilysurnames.com/wp-content/uploads/2021/04/o-connor-B-H.jpg")</f>
        <v/>
      </c>
      <c r="E296" s="4" t="inlineStr">
        <is>
          <t>https://irishfamilysurnames.com/wp-content/uploads/2021/04/o-connor-B-H.jpg</t>
        </is>
      </c>
    </row>
    <row r="297" ht="75" customHeight="1">
      <c r="A297" s="3" t="inlineStr">
        <is>
          <t>Odaugherty</t>
        </is>
      </c>
      <c r="B297" s="3" t="inlineStr">
        <is>
          <t>odaugherty</t>
        </is>
      </c>
      <c r="C297" s="4" t="inlineStr">
        <is>
          <t>https://irishfamilysurnames.com/product/odaugherty/</t>
        </is>
      </c>
      <c r="D297" s="3">
        <f>IMAGE("https://irishfamilysurnames.com/wp-content/uploads/2021/04/o-daugherty-B-H.jpg")</f>
        <v/>
      </c>
      <c r="E297" s="4" t="inlineStr">
        <is>
          <t>https://irishfamilysurnames.com/wp-content/uploads/2021/04/o-daugherty-B-H.jpg</t>
        </is>
      </c>
    </row>
    <row r="298" ht="75" customHeight="1">
      <c r="A298" s="3" t="inlineStr">
        <is>
          <t>Odoherty</t>
        </is>
      </c>
      <c r="B298" s="3" t="inlineStr">
        <is>
          <t>odoherty</t>
        </is>
      </c>
      <c r="C298" s="4" t="inlineStr">
        <is>
          <t>https://irishfamilysurnames.com/product/odoherty/</t>
        </is>
      </c>
      <c r="D298" s="3">
        <f>IMAGE("https://irishfamilysurnames.com/wp-content/uploads/2021/04/o-doherty-B-H.jpg")</f>
        <v/>
      </c>
      <c r="E298" s="4" t="inlineStr">
        <is>
          <t>https://irishfamilysurnames.com/wp-content/uploads/2021/04/o-doherty-B-H.jpg</t>
        </is>
      </c>
    </row>
    <row r="299" ht="75" customHeight="1">
      <c r="A299" s="3" t="inlineStr">
        <is>
          <t>Odonnell</t>
        </is>
      </c>
      <c r="B299" s="3" t="inlineStr">
        <is>
          <t>odonnell</t>
        </is>
      </c>
      <c r="C299" s="4" t="inlineStr">
        <is>
          <t>https://irishfamilysurnames.com/product/odonnell/</t>
        </is>
      </c>
      <c r="D299" s="3">
        <f>IMAGE("https://irishfamilysurnames.com/wp-content/uploads/2021/04/o-donnell-B-H.jpg")</f>
        <v/>
      </c>
      <c r="E299" s="4" t="inlineStr">
        <is>
          <t>https://irishfamilysurnames.com/wp-content/uploads/2021/04/o-donnell-B-H.jpg</t>
        </is>
      </c>
    </row>
    <row r="300" ht="75" customHeight="1">
      <c r="A300" s="3" t="inlineStr">
        <is>
          <t>Odonoghoe</t>
        </is>
      </c>
      <c r="B300" s="3" t="inlineStr">
        <is>
          <t>odonoghoe</t>
        </is>
      </c>
      <c r="C300" s="4" t="inlineStr">
        <is>
          <t>https://irishfamilysurnames.com/product/odonoghoe/</t>
        </is>
      </c>
      <c r="D300" s="3">
        <f>IMAGE("https://irishfamilysurnames.com/wp-content/uploads/2021/04/o-donoghoe-B-H.jpg")</f>
        <v/>
      </c>
      <c r="E300" s="4" t="inlineStr">
        <is>
          <t>https://irishfamilysurnames.com/wp-content/uploads/2021/04/o-donoghoe-B-H.jpg</t>
        </is>
      </c>
    </row>
    <row r="301" ht="75" customHeight="1">
      <c r="A301" s="3" t="inlineStr">
        <is>
          <t>Odonoghue</t>
        </is>
      </c>
      <c r="B301" s="3" t="inlineStr">
        <is>
          <t>odonoghue</t>
        </is>
      </c>
      <c r="C301" s="4" t="inlineStr">
        <is>
          <t>https://irishfamilysurnames.com/product/odonoghue/</t>
        </is>
      </c>
      <c r="D301" s="3">
        <f>IMAGE("https://irishfamilysurnames.com/wp-content/uploads/2021/04/o-donoghue-B-H.jpg")</f>
        <v/>
      </c>
      <c r="E301" s="4" t="inlineStr">
        <is>
          <t>https://irishfamilysurnames.com/wp-content/uploads/2021/04/o-donoghue-B-H.jpg</t>
        </is>
      </c>
    </row>
    <row r="302" ht="75" customHeight="1">
      <c r="A302" s="3" t="inlineStr">
        <is>
          <t>Odonohoe</t>
        </is>
      </c>
      <c r="B302" s="3" t="inlineStr">
        <is>
          <t>odonohoe</t>
        </is>
      </c>
      <c r="C302" s="4" t="inlineStr">
        <is>
          <t>https://irishfamilysurnames.com/product/odonohoe/</t>
        </is>
      </c>
      <c r="D302" s="3">
        <f>IMAGE("https://irishfamilysurnames.com/wp-content/uploads/2021/04/odonohoe-B-H.jpg")</f>
        <v/>
      </c>
      <c r="E302" s="4" t="inlineStr">
        <is>
          <t>https://irishfamilysurnames.com/wp-content/uploads/2021/04/odonohoe-B-H.jpg</t>
        </is>
      </c>
    </row>
    <row r="303" ht="75" customHeight="1">
      <c r="A303" s="3" t="inlineStr">
        <is>
          <t>Odonovan 2</t>
        </is>
      </c>
      <c r="B303" s="3" t="inlineStr">
        <is>
          <t>odonovan-2</t>
        </is>
      </c>
      <c r="C303" s="4" t="inlineStr">
        <is>
          <t>https://irishfamilysurnames.com/product/odonovan-2/</t>
        </is>
      </c>
      <c r="D303" s="3">
        <f>IMAGE("https://irishfamilysurnames.com/wp-content/uploads/2021/04/odonovan-B-H.jpg")</f>
        <v/>
      </c>
      <c r="E303" s="4" t="inlineStr">
        <is>
          <t>https://irishfamilysurnames.com/wp-content/uploads/2021/04/odonovan-B-H.jpg</t>
        </is>
      </c>
    </row>
    <row r="304" ht="75" customHeight="1">
      <c r="A304" s="3" t="inlineStr">
        <is>
          <t>Odougherty</t>
        </is>
      </c>
      <c r="B304" s="3" t="inlineStr">
        <is>
          <t>odougherty</t>
        </is>
      </c>
      <c r="C304" s="4" t="inlineStr">
        <is>
          <t>https://irishfamilysurnames.com/product/odougherty/</t>
        </is>
      </c>
      <c r="D304" s="3">
        <f>IMAGE("https://irishfamilysurnames.com/wp-content/uploads/2021/04/o-dougherty-B-H.jpg")</f>
        <v/>
      </c>
      <c r="E304" s="4" t="inlineStr">
        <is>
          <t>https://irishfamilysurnames.com/wp-content/uploads/2021/04/o-dougherty-B-H.jpg</t>
        </is>
      </c>
    </row>
    <row r="305" ht="75" customHeight="1">
      <c r="A305" s="3" t="inlineStr">
        <is>
          <t>Odriscoll</t>
        </is>
      </c>
      <c r="B305" s="3" t="inlineStr">
        <is>
          <t>odriscoll</t>
        </is>
      </c>
      <c r="C305" s="4" t="inlineStr">
        <is>
          <t>https://irishfamilysurnames.com/product/odriscoll/</t>
        </is>
      </c>
      <c r="D305" s="3">
        <f>IMAGE("https://irishfamilysurnames.com/wp-content/uploads/2021/04/o-driscoll-B-H.jpg")</f>
        <v/>
      </c>
      <c r="E305" s="4" t="inlineStr">
        <is>
          <t>https://irishfamilysurnames.com/wp-content/uploads/2021/04/o-driscoll-B-H.jpg</t>
        </is>
      </c>
    </row>
    <row r="306" ht="75" customHeight="1">
      <c r="A306" s="3" t="inlineStr">
        <is>
          <t>Oduffy</t>
        </is>
      </c>
      <c r="B306" s="3" t="inlineStr">
        <is>
          <t>oduffy</t>
        </is>
      </c>
      <c r="C306" s="4" t="inlineStr">
        <is>
          <t>https://irishfamilysurnames.com/product/oduffy/</t>
        </is>
      </c>
      <c r="D306" s="3">
        <f>IMAGE("https://irishfamilysurnames.com/wp-content/uploads/2021/04/o-duffy-B-H.jpg")</f>
        <v/>
      </c>
      <c r="E306" s="4" t="inlineStr">
        <is>
          <t>https://irishfamilysurnames.com/wp-content/uploads/2021/04/o-duffy-B-H.jpg</t>
        </is>
      </c>
    </row>
    <row r="307" ht="75" customHeight="1">
      <c r="A307" s="3" t="inlineStr">
        <is>
          <t>Odwyer</t>
        </is>
      </c>
      <c r="B307" s="3" t="inlineStr">
        <is>
          <t>odwyer</t>
        </is>
      </c>
      <c r="C307" s="4" t="inlineStr">
        <is>
          <t>https://irishfamilysurnames.com/product/odwyer/</t>
        </is>
      </c>
      <c r="D307" s="3">
        <f>IMAGE("https://irishfamilysurnames.com/wp-content/uploads/2021/04/o-dwyer-B-H.jpg")</f>
        <v/>
      </c>
      <c r="E307" s="4" t="inlineStr">
        <is>
          <t>https://irishfamilysurnames.com/wp-content/uploads/2021/04/o-dwyer-B-H.jpg</t>
        </is>
      </c>
    </row>
    <row r="308" ht="75" customHeight="1">
      <c r="A308" s="3" t="inlineStr">
        <is>
          <t>Ofarrell</t>
        </is>
      </c>
      <c r="B308" s="3" t="inlineStr">
        <is>
          <t>ofarrell</t>
        </is>
      </c>
      <c r="C308" s="4" t="inlineStr">
        <is>
          <t>https://irishfamilysurnames.com/product/ofarrell/</t>
        </is>
      </c>
      <c r="D308" s="3">
        <f>IMAGE("https://irishfamilysurnames.com/wp-content/uploads/2021/04/o-farrell-B-H.jpg")</f>
        <v/>
      </c>
      <c r="E308" s="4" t="inlineStr">
        <is>
          <t>https://irishfamilysurnames.com/wp-content/uploads/2021/04/o-farrell-B-H.jpg</t>
        </is>
      </c>
    </row>
    <row r="309" ht="75" customHeight="1">
      <c r="A309" s="3" t="inlineStr">
        <is>
          <t>Oflaherty</t>
        </is>
      </c>
      <c r="B309" s="3" t="inlineStr">
        <is>
          <t>oflaherty</t>
        </is>
      </c>
      <c r="C309" s="4" t="inlineStr">
        <is>
          <t>https://irishfamilysurnames.com/product/oflaherty/</t>
        </is>
      </c>
      <c r="D309" s="3">
        <f>IMAGE("https://irishfamilysurnames.com/wp-content/uploads/2021/04/o-flaherty-B-H.jpg")</f>
        <v/>
      </c>
      <c r="E309" s="4" t="inlineStr">
        <is>
          <t>https://irishfamilysurnames.com/wp-content/uploads/2021/04/o-flaherty-B-H.jpg</t>
        </is>
      </c>
    </row>
    <row r="310" ht="75" customHeight="1">
      <c r="A310" s="3" t="inlineStr">
        <is>
          <t>Oflanagan</t>
        </is>
      </c>
      <c r="B310" s="3" t="inlineStr">
        <is>
          <t>oflanagan</t>
        </is>
      </c>
      <c r="C310" s="4" t="inlineStr">
        <is>
          <t>https://irishfamilysurnames.com/product/oflanagan/</t>
        </is>
      </c>
      <c r="D310" s="3">
        <f>IMAGE("https://irishfamilysurnames.com/wp-content/uploads/2021/04/o-flanagan-B-H.jpg")</f>
        <v/>
      </c>
      <c r="E310" s="4" t="inlineStr">
        <is>
          <t>https://irishfamilysurnames.com/wp-content/uploads/2021/04/o-flanagan-B-H.jpg</t>
        </is>
      </c>
    </row>
    <row r="311" ht="75" customHeight="1">
      <c r="A311" s="3" t="inlineStr">
        <is>
          <t>Oflynn</t>
        </is>
      </c>
      <c r="B311" s="3" t="inlineStr">
        <is>
          <t>oflynn</t>
        </is>
      </c>
      <c r="C311" s="4" t="inlineStr">
        <is>
          <t>https://irishfamilysurnames.com/product/oflynn/</t>
        </is>
      </c>
      <c r="D311" s="3">
        <f>IMAGE("https://irishfamilysurnames.com/wp-content/uploads/2021/04/o-flynn-B-H.jpg")</f>
        <v/>
      </c>
      <c r="E311" s="4" t="inlineStr">
        <is>
          <t>https://irishfamilysurnames.com/wp-content/uploads/2021/04/o-flynn-B-H.jpg</t>
        </is>
      </c>
    </row>
    <row r="312" ht="75" customHeight="1">
      <c r="A312" s="3" t="inlineStr">
        <is>
          <t>Ogorman</t>
        </is>
      </c>
      <c r="B312" s="3" t="inlineStr">
        <is>
          <t>ogorman</t>
        </is>
      </c>
      <c r="C312" s="4" t="inlineStr">
        <is>
          <t>https://irishfamilysurnames.com/product/ogorman/</t>
        </is>
      </c>
      <c r="D312" s="3">
        <f>IMAGE("https://irishfamilysurnames.com/wp-content/uploads/2021/04/o-gorman-B-H.jpg")</f>
        <v/>
      </c>
      <c r="E312" s="4" t="inlineStr">
        <is>
          <t>https://irishfamilysurnames.com/wp-content/uploads/2021/04/o-gorman-B-H.jpg</t>
        </is>
      </c>
    </row>
    <row r="313" ht="75" customHeight="1">
      <c r="A313" s="3" t="inlineStr">
        <is>
          <t>Ogrady</t>
        </is>
      </c>
      <c r="B313" s="3" t="inlineStr">
        <is>
          <t>ogrady</t>
        </is>
      </c>
      <c r="C313" s="4" t="inlineStr">
        <is>
          <t>https://irishfamilysurnames.com/product/ogrady/</t>
        </is>
      </c>
      <c r="D313" s="3">
        <f>IMAGE("https://irishfamilysurnames.com/wp-content/uploads/2021/04/o-grady-B-H.jpg")</f>
        <v/>
      </c>
      <c r="E313" s="4" t="inlineStr">
        <is>
          <t>https://irishfamilysurnames.com/wp-content/uploads/2021/04/o-grady-B-H.jpg</t>
        </is>
      </c>
    </row>
    <row r="314" ht="75" customHeight="1">
      <c r="A314" s="3" t="inlineStr">
        <is>
          <t>Ohagan</t>
        </is>
      </c>
      <c r="B314" s="3" t="inlineStr">
        <is>
          <t>ohagan</t>
        </is>
      </c>
      <c r="C314" s="4" t="inlineStr">
        <is>
          <t>https://irishfamilysurnames.com/product/ohagan/</t>
        </is>
      </c>
      <c r="D314" s="3">
        <f>IMAGE("https://irishfamilysurnames.com/wp-content/uploads/2021/04/o-hagan-B-H.jpg")</f>
        <v/>
      </c>
      <c r="E314" s="4" t="inlineStr">
        <is>
          <t>https://irishfamilysurnames.com/wp-content/uploads/2021/04/o-hagan-B-H.jpg</t>
        </is>
      </c>
    </row>
    <row r="315" ht="75" customHeight="1">
      <c r="A315" s="3" t="inlineStr">
        <is>
          <t>Ohalloran</t>
        </is>
      </c>
      <c r="B315" s="3" t="inlineStr">
        <is>
          <t>ohalloran</t>
        </is>
      </c>
      <c r="C315" s="4" t="inlineStr">
        <is>
          <t>https://irishfamilysurnames.com/product/ohalloran/</t>
        </is>
      </c>
      <c r="D315" s="3">
        <f>IMAGE("https://irishfamilysurnames.com/wp-content/uploads/2021/04/o-halloran-B-H.jpg")</f>
        <v/>
      </c>
      <c r="E315" s="4" t="inlineStr">
        <is>
          <t>https://irishfamilysurnames.com/wp-content/uploads/2021/04/o-halloran-B-H.jpg</t>
        </is>
      </c>
    </row>
    <row r="316" ht="75" customHeight="1">
      <c r="A316" s="3" t="inlineStr">
        <is>
          <t>Ohanlon</t>
        </is>
      </c>
      <c r="B316" s="3" t="inlineStr">
        <is>
          <t>ohanlon</t>
        </is>
      </c>
      <c r="C316" s="4" t="inlineStr">
        <is>
          <t>https://irishfamilysurnames.com/product/ohanlon/</t>
        </is>
      </c>
      <c r="D316" s="3">
        <f>IMAGE("https://irishfamilysurnames.com/wp-content/uploads/2021/04/ohanlon-B-H.jpg")</f>
        <v/>
      </c>
      <c r="E316" s="4" t="inlineStr">
        <is>
          <t>https://irishfamilysurnames.com/wp-content/uploads/2021/04/ohanlon-B-H.jpg</t>
        </is>
      </c>
    </row>
    <row r="317" ht="75" customHeight="1">
      <c r="A317" s="3" t="inlineStr">
        <is>
          <t>Ohara</t>
        </is>
      </c>
      <c r="B317" s="3" t="inlineStr">
        <is>
          <t>ohara</t>
        </is>
      </c>
      <c r="C317" s="4" t="inlineStr">
        <is>
          <t>https://irishfamilysurnames.com/product/ohara/</t>
        </is>
      </c>
      <c r="D317" s="3">
        <f>IMAGE("https://irishfamilysurnames.com/wp-content/uploads/2021/04/o-hara-B-H.jpg")</f>
        <v/>
      </c>
      <c r="E317" s="4" t="inlineStr">
        <is>
          <t>https://irishfamilysurnames.com/wp-content/uploads/2021/04/o-hara-B-H.jpg</t>
        </is>
      </c>
    </row>
    <row r="318" ht="75" customHeight="1">
      <c r="A318" s="3" t="inlineStr">
        <is>
          <t>Ohart</t>
        </is>
      </c>
      <c r="B318" s="3" t="inlineStr">
        <is>
          <t>ohart</t>
        </is>
      </c>
      <c r="C318" s="4" t="inlineStr">
        <is>
          <t>https://irishfamilysurnames.com/product/ohart/</t>
        </is>
      </c>
      <c r="D318" s="3">
        <f>IMAGE("https://irishfamilysurnames.com/wp-content/uploads/2021/04/o-hart-B-H.jpg")</f>
        <v/>
      </c>
      <c r="E318" s="4" t="inlineStr">
        <is>
          <t>https://irishfamilysurnames.com/wp-content/uploads/2021/04/o-hart-B-H.jpg</t>
        </is>
      </c>
    </row>
    <row r="319" ht="75" customHeight="1">
      <c r="A319" s="3" t="inlineStr">
        <is>
          <t>Ohiggins</t>
        </is>
      </c>
      <c r="B319" s="3" t="inlineStr">
        <is>
          <t>ohiggins</t>
        </is>
      </c>
      <c r="C319" s="4" t="inlineStr">
        <is>
          <t>https://irishfamilysurnames.com/product/ohiggins/</t>
        </is>
      </c>
      <c r="D319" s="3">
        <f>IMAGE("https://irishfamilysurnames.com/wp-content/uploads/2021/04/o-higgins-B-H.jpg")</f>
        <v/>
      </c>
      <c r="E319" s="4" t="inlineStr">
        <is>
          <t>https://irishfamilysurnames.com/wp-content/uploads/2021/04/o-higgins-B-H.jpg</t>
        </is>
      </c>
    </row>
    <row r="320" ht="75" customHeight="1">
      <c r="A320" s="3" t="inlineStr">
        <is>
          <t>Okeefe</t>
        </is>
      </c>
      <c r="B320" s="3" t="inlineStr">
        <is>
          <t>okeefe</t>
        </is>
      </c>
      <c r="C320" s="4" t="inlineStr">
        <is>
          <t>https://irishfamilysurnames.com/product/okeefe/</t>
        </is>
      </c>
      <c r="D320" s="3">
        <f>IMAGE("https://irishfamilysurnames.com/wp-content/uploads/2021/04/o-keefe-B-H.jpg")</f>
        <v/>
      </c>
      <c r="E320" s="4" t="inlineStr">
        <is>
          <t>https://irishfamilysurnames.com/wp-content/uploads/2021/04/o-keefe-B-H.jpg</t>
        </is>
      </c>
    </row>
    <row r="321" ht="75" customHeight="1">
      <c r="A321" s="3" t="inlineStr">
        <is>
          <t>Okeeffe</t>
        </is>
      </c>
      <c r="B321" s="3" t="inlineStr">
        <is>
          <t>okeeffe</t>
        </is>
      </c>
      <c r="C321" s="4" t="inlineStr">
        <is>
          <t>https://irishfamilysurnames.com/product/okeeffe/</t>
        </is>
      </c>
      <c r="D321" s="3">
        <f>IMAGE("https://irishfamilysurnames.com/wp-content/uploads/2021/04/o-keeffe-B-H.jpg")</f>
        <v/>
      </c>
      <c r="E321" s="4" t="inlineStr">
        <is>
          <t>https://irishfamilysurnames.com/wp-content/uploads/2021/04/o-keeffe-B-H.jpg</t>
        </is>
      </c>
    </row>
    <row r="322" ht="75" customHeight="1">
      <c r="A322" s="3" t="inlineStr">
        <is>
          <t>Okelly</t>
        </is>
      </c>
      <c r="B322" s="3" t="inlineStr">
        <is>
          <t>okelly</t>
        </is>
      </c>
      <c r="C322" s="4" t="inlineStr">
        <is>
          <t>https://irishfamilysurnames.com/product/okelly/</t>
        </is>
      </c>
      <c r="D322" s="3">
        <f>IMAGE("https://irishfamilysurnames.com/wp-content/uploads/2021/04/o-kelly-B-H.jpg")</f>
        <v/>
      </c>
      <c r="E322" s="4" t="inlineStr">
        <is>
          <t>https://irishfamilysurnames.com/wp-content/uploads/2021/04/o-kelly-B-H.jpg</t>
        </is>
      </c>
    </row>
    <row r="323" ht="75" customHeight="1">
      <c r="A323" s="3" t="inlineStr">
        <is>
          <t>Olaughlin</t>
        </is>
      </c>
      <c r="B323" s="3" t="inlineStr">
        <is>
          <t>olaughlin</t>
        </is>
      </c>
      <c r="C323" s="4" t="inlineStr">
        <is>
          <t>https://irishfamilysurnames.com/product/olaughlin/</t>
        </is>
      </c>
      <c r="D323" s="3">
        <f>IMAGE("https://irishfamilysurnames.com/wp-content/uploads/2021/04/o-laughlin-B-H.jpg")</f>
        <v/>
      </c>
      <c r="E323" s="4" t="inlineStr">
        <is>
          <t>https://irishfamilysurnames.com/wp-content/uploads/2021/04/o-laughlin-B-H.jpg</t>
        </is>
      </c>
    </row>
    <row r="324" ht="75" customHeight="1">
      <c r="A324" s="3" t="inlineStr">
        <is>
          <t>Oleary</t>
        </is>
      </c>
      <c r="B324" s="3" t="inlineStr">
        <is>
          <t>oleary</t>
        </is>
      </c>
      <c r="C324" s="4" t="inlineStr">
        <is>
          <t>https://irishfamilysurnames.com/product/oleary/</t>
        </is>
      </c>
      <c r="D324" s="3">
        <f>IMAGE("https://irishfamilysurnames.com/wp-content/uploads/2021/04/o-leary-B-H.jpg")</f>
        <v/>
      </c>
      <c r="E324" s="4" t="inlineStr">
        <is>
          <t>https://irishfamilysurnames.com/wp-content/uploads/2021/04/o-leary-B-H.jpg</t>
        </is>
      </c>
    </row>
    <row r="325" ht="75" customHeight="1">
      <c r="A325" s="3" t="inlineStr">
        <is>
          <t>Oloughlin</t>
        </is>
      </c>
      <c r="B325" s="3" t="inlineStr">
        <is>
          <t>oloughlin</t>
        </is>
      </c>
      <c r="C325" s="4" t="inlineStr">
        <is>
          <t>https://irishfamilysurnames.com/product/oloughlin/</t>
        </is>
      </c>
      <c r="D325" s="3">
        <f>IMAGE("https://irishfamilysurnames.com/wp-content/uploads/2021/04/o-loughlin-B-H.jpg")</f>
        <v/>
      </c>
      <c r="E325" s="4" t="inlineStr">
        <is>
          <t>https://irishfamilysurnames.com/wp-content/uploads/2021/04/o-loughlin-B-H.jpg</t>
        </is>
      </c>
    </row>
    <row r="326" ht="75" customHeight="1">
      <c r="A326" s="3" t="inlineStr">
        <is>
          <t>Omahoney</t>
        </is>
      </c>
      <c r="B326" s="3" t="inlineStr">
        <is>
          <t>omahoney</t>
        </is>
      </c>
      <c r="C326" s="4" t="inlineStr">
        <is>
          <t>https://irishfamilysurnames.com/product/omahoney/</t>
        </is>
      </c>
      <c r="D326" s="3">
        <f>IMAGE("https://irishfamilysurnames.com/wp-content/uploads/2021/04/o-mahoney-B-H.jpg")</f>
        <v/>
      </c>
      <c r="E326" s="4" t="inlineStr">
        <is>
          <t>https://irishfamilysurnames.com/wp-content/uploads/2021/04/o-mahoney-B-H.jpg</t>
        </is>
      </c>
    </row>
    <row r="327" ht="75" customHeight="1">
      <c r="A327" s="3" t="inlineStr">
        <is>
          <t>Omahony</t>
        </is>
      </c>
      <c r="B327" s="3" t="inlineStr">
        <is>
          <t>omahony</t>
        </is>
      </c>
      <c r="C327" s="4" t="inlineStr">
        <is>
          <t>https://irishfamilysurnames.com/product/omahony/</t>
        </is>
      </c>
      <c r="D327" s="3">
        <f>IMAGE("https://irishfamilysurnames.com/wp-content/uploads/2021/04/o-mahony-B-H.jpg")</f>
        <v/>
      </c>
      <c r="E327" s="4" t="inlineStr">
        <is>
          <t>https://irishfamilysurnames.com/wp-content/uploads/2021/04/o-mahony-B-H.jpg</t>
        </is>
      </c>
    </row>
    <row r="328" ht="75" customHeight="1">
      <c r="A328" s="3" t="inlineStr">
        <is>
          <t>Omalley</t>
        </is>
      </c>
      <c r="B328" s="3" t="inlineStr">
        <is>
          <t>omalley</t>
        </is>
      </c>
      <c r="C328" s="4" t="inlineStr">
        <is>
          <t>https://irishfamilysurnames.com/product/omalley/</t>
        </is>
      </c>
      <c r="D328" s="3">
        <f>IMAGE("https://irishfamilysurnames.com/wp-content/uploads/2021/04/o-malley-B-H.jpg")</f>
        <v/>
      </c>
      <c r="E328" s="4" t="inlineStr">
        <is>
          <t>https://irishfamilysurnames.com/wp-content/uploads/2021/04/o-malley-B-H.jpg</t>
        </is>
      </c>
    </row>
    <row r="329" ht="75" customHeight="1">
      <c r="A329" s="3" t="inlineStr">
        <is>
          <t>Omara</t>
        </is>
      </c>
      <c r="B329" s="3" t="inlineStr">
        <is>
          <t>omara</t>
        </is>
      </c>
      <c r="C329" s="4" t="inlineStr">
        <is>
          <t>https://irishfamilysurnames.com/product/omara/</t>
        </is>
      </c>
      <c r="D329" s="3">
        <f>IMAGE("https://irishfamilysurnames.com/wp-content/uploads/2021/04/o-mara-B-H.jpg")</f>
        <v/>
      </c>
      <c r="E329" s="4" t="inlineStr">
        <is>
          <t>https://irishfamilysurnames.com/wp-content/uploads/2021/04/o-mara-B-H.jpg</t>
        </is>
      </c>
    </row>
    <row r="330" ht="75" customHeight="1">
      <c r="A330" s="3" t="inlineStr">
        <is>
          <t>Omeara</t>
        </is>
      </c>
      <c r="B330" s="3" t="inlineStr">
        <is>
          <t>omeara</t>
        </is>
      </c>
      <c r="C330" s="4" t="inlineStr">
        <is>
          <t>https://irishfamilysurnames.com/product/omeara/</t>
        </is>
      </c>
      <c r="D330" s="3">
        <f>IMAGE("https://irishfamilysurnames.com/wp-content/uploads/2021/04/o-meara-B-H.jpg")</f>
        <v/>
      </c>
      <c r="E330" s="4" t="inlineStr">
        <is>
          <t>https://irishfamilysurnames.com/wp-content/uploads/2021/04/o-meara-B-H.jpg</t>
        </is>
      </c>
    </row>
    <row r="331" ht="75" customHeight="1">
      <c r="A331" s="3" t="inlineStr">
        <is>
          <t>Oneal</t>
        </is>
      </c>
      <c r="B331" s="3" t="inlineStr">
        <is>
          <t>oneal</t>
        </is>
      </c>
      <c r="C331" s="4" t="inlineStr">
        <is>
          <t>https://irishfamilysurnames.com/product/oneal/</t>
        </is>
      </c>
      <c r="D331" s="3">
        <f>IMAGE("https://irishfamilysurnames.com/wp-content/uploads/2021/04/o-neal-B-H.jpg")</f>
        <v/>
      </c>
      <c r="E331" s="4" t="inlineStr">
        <is>
          <t>https://irishfamilysurnames.com/wp-content/uploads/2021/04/o-neal-B-H.jpg</t>
        </is>
      </c>
    </row>
    <row r="332" ht="75" customHeight="1">
      <c r="A332" s="3" t="inlineStr">
        <is>
          <t>Oneill</t>
        </is>
      </c>
      <c r="B332" s="3" t="inlineStr">
        <is>
          <t>oneill</t>
        </is>
      </c>
      <c r="C332" s="4" t="inlineStr">
        <is>
          <t>https://irishfamilysurnames.com/product/oneill/</t>
        </is>
      </c>
      <c r="D332" s="3">
        <f>IMAGE("https://irishfamilysurnames.com/wp-content/uploads/2021/04/o-neill-B-H.jpg")</f>
        <v/>
      </c>
      <c r="E332" s="4" t="inlineStr">
        <is>
          <t>https://irishfamilysurnames.com/wp-content/uploads/2021/04/o-neill-B-H.jpg</t>
        </is>
      </c>
    </row>
    <row r="333" ht="75" customHeight="1">
      <c r="A333" s="3" t="inlineStr">
        <is>
          <t>Oreagan</t>
        </is>
      </c>
      <c r="B333" s="3" t="inlineStr">
        <is>
          <t>oreagan</t>
        </is>
      </c>
      <c r="C333" s="4" t="inlineStr">
        <is>
          <t>https://irishfamilysurnames.com/product/oreagan/</t>
        </is>
      </c>
      <c r="D333" s="3">
        <f>IMAGE("https://irishfamilysurnames.com/wp-content/uploads/2021/04/o-reagan-B-H.jpg")</f>
        <v/>
      </c>
      <c r="E333" s="4" t="inlineStr">
        <is>
          <t>https://irishfamilysurnames.com/wp-content/uploads/2021/04/o-reagan-B-H.jpg</t>
        </is>
      </c>
    </row>
    <row r="334" ht="75" customHeight="1">
      <c r="A334" s="3" t="inlineStr">
        <is>
          <t>Oregan</t>
        </is>
      </c>
      <c r="B334" s="3" t="inlineStr">
        <is>
          <t>oregan</t>
        </is>
      </c>
      <c r="C334" s="4" t="inlineStr">
        <is>
          <t>https://irishfamilysurnames.com/product/oregan/</t>
        </is>
      </c>
      <c r="D334" s="3">
        <f>IMAGE("https://irishfamilysurnames.com/wp-content/uploads/2021/04/o-regan-B-H.jpg")</f>
        <v/>
      </c>
      <c r="E334" s="4" t="inlineStr">
        <is>
          <t>https://irishfamilysurnames.com/wp-content/uploads/2021/04/o-regan-B-H.jpg</t>
        </is>
      </c>
    </row>
    <row r="335" ht="75" customHeight="1">
      <c r="A335" s="3" t="inlineStr">
        <is>
          <t>Oreilly</t>
        </is>
      </c>
      <c r="B335" s="3" t="inlineStr">
        <is>
          <t>oreilly</t>
        </is>
      </c>
      <c r="C335" s="4" t="inlineStr">
        <is>
          <t>https://irishfamilysurnames.com/product/oreilly/</t>
        </is>
      </c>
      <c r="D335" s="3">
        <f>IMAGE("https://irishfamilysurnames.com/wp-content/uploads/2021/04/o-reilly-B-H.jpg")</f>
        <v/>
      </c>
      <c r="E335" s="4" t="inlineStr">
        <is>
          <t>https://irishfamilysurnames.com/wp-content/uploads/2021/04/o-reilly-B-H.jpg</t>
        </is>
      </c>
    </row>
    <row r="336" ht="75" customHeight="1">
      <c r="A336" s="3" t="inlineStr">
        <is>
          <t>Oriordan</t>
        </is>
      </c>
      <c r="B336" s="3" t="inlineStr">
        <is>
          <t>oriordan</t>
        </is>
      </c>
      <c r="C336" s="4" t="inlineStr">
        <is>
          <t>https://irishfamilysurnames.com/product/oriordan/</t>
        </is>
      </c>
      <c r="D336" s="3">
        <f>IMAGE("https://irishfamilysurnames.com/wp-content/uploads/2021/04/o-riordan-B-H.jpg")</f>
        <v/>
      </c>
      <c r="E336" s="4" t="inlineStr">
        <is>
          <t>https://irishfamilysurnames.com/wp-content/uploads/2021/04/o-riordan-B-H.jpg</t>
        </is>
      </c>
    </row>
    <row r="337" ht="75" customHeight="1">
      <c r="A337" s="3" t="inlineStr">
        <is>
          <t>Orourke</t>
        </is>
      </c>
      <c r="B337" s="3" t="inlineStr">
        <is>
          <t>orourke</t>
        </is>
      </c>
      <c r="C337" s="4" t="inlineStr">
        <is>
          <t>https://irishfamilysurnames.com/product/orourke/</t>
        </is>
      </c>
      <c r="D337" s="3">
        <f>IMAGE("https://irishfamilysurnames.com/wp-content/uploads/2021/04/o-rourke-B-H.jpg")</f>
        <v/>
      </c>
      <c r="E337" s="4" t="inlineStr">
        <is>
          <t>https://irishfamilysurnames.com/wp-content/uploads/2021/04/o-rourke-B-H.jpg</t>
        </is>
      </c>
    </row>
    <row r="338" ht="75" customHeight="1">
      <c r="A338" s="3" t="inlineStr">
        <is>
          <t>Oshaughnessy</t>
        </is>
      </c>
      <c r="B338" s="3" t="inlineStr">
        <is>
          <t>oshaughnessy</t>
        </is>
      </c>
      <c r="C338" s="4" t="inlineStr">
        <is>
          <t>https://irishfamilysurnames.com/product/oshaughnessy/</t>
        </is>
      </c>
      <c r="D338" s="3">
        <f>IMAGE("https://irishfamilysurnames.com/wp-content/uploads/2021/04/o-shaughnessy-B-H.jpg")</f>
        <v/>
      </c>
      <c r="E338" s="4" t="inlineStr">
        <is>
          <t>https://irishfamilysurnames.com/wp-content/uploads/2021/04/o-shaughnessy-B-H.jpg</t>
        </is>
      </c>
    </row>
    <row r="339" ht="75" customHeight="1">
      <c r="A339" s="3" t="inlineStr">
        <is>
          <t>Oshea</t>
        </is>
      </c>
      <c r="B339" s="3" t="inlineStr">
        <is>
          <t>oshea</t>
        </is>
      </c>
      <c r="C339" s="4" t="inlineStr">
        <is>
          <t>https://irishfamilysurnames.com/product/oshea/</t>
        </is>
      </c>
      <c r="D339" s="3">
        <f>IMAGE("https://irishfamilysurnames.com/wp-content/uploads/2021/04/o-shea-B-H.jpg")</f>
        <v/>
      </c>
      <c r="E339" s="4" t="inlineStr">
        <is>
          <t>https://irishfamilysurnames.com/wp-content/uploads/2021/04/o-shea-B-H.jpg</t>
        </is>
      </c>
    </row>
    <row r="340" ht="75" customHeight="1">
      <c r="A340" s="3" t="inlineStr">
        <is>
          <t>Osullivan</t>
        </is>
      </c>
      <c r="B340" s="3" t="inlineStr">
        <is>
          <t>osullivan</t>
        </is>
      </c>
      <c r="C340" s="4" t="inlineStr">
        <is>
          <t>https://irishfamilysurnames.com/product/osullivan/</t>
        </is>
      </c>
      <c r="D340" s="3">
        <f>IMAGE("https://irishfamilysurnames.com/wp-content/uploads/2021/04/o-sullivan-B-H.jpg")</f>
        <v/>
      </c>
      <c r="E340" s="4" t="inlineStr">
        <is>
          <t>https://irishfamilysurnames.com/wp-content/uploads/2021/04/o-sullivan-B-H.jpg</t>
        </is>
      </c>
    </row>
    <row r="341" ht="75" customHeight="1">
      <c r="A341" s="3" t="inlineStr">
        <is>
          <t>Otoole</t>
        </is>
      </c>
      <c r="B341" s="3" t="inlineStr">
        <is>
          <t>otoole</t>
        </is>
      </c>
      <c r="C341" s="4" t="inlineStr">
        <is>
          <t>https://irishfamilysurnames.com/product/otoole/</t>
        </is>
      </c>
      <c r="D341" s="3">
        <f>IMAGE("https://irishfamilysurnames.com/wp-content/uploads/2021/04/o-toole-B-H.jpg")</f>
        <v/>
      </c>
      <c r="E341" s="4" t="inlineStr">
        <is>
          <t>https://irishfamilysurnames.com/wp-content/uploads/2021/04/o-toole-B-H.jpg</t>
        </is>
      </c>
    </row>
    <row r="342" ht="75" customHeight="1">
      <c r="A342" s="3" t="inlineStr">
        <is>
          <t>Phelan</t>
        </is>
      </c>
      <c r="B342" s="3" t="inlineStr">
        <is>
          <t>phelan</t>
        </is>
      </c>
      <c r="C342" s="4" t="inlineStr">
        <is>
          <t>https://irishfamilysurnames.com/product/phelan/</t>
        </is>
      </c>
      <c r="D342" s="3">
        <f>IMAGE("https://irishfamilysurnames.com/wp-content/uploads/2021/04/phelan-B-H.jpg")</f>
        <v/>
      </c>
      <c r="E342" s="4" t="inlineStr">
        <is>
          <t>https://irishfamilysurnames.com/wp-content/uploads/2021/04/phelan-B-H.jpg</t>
        </is>
      </c>
    </row>
    <row r="343" ht="75" customHeight="1">
      <c r="A343" s="3" t="inlineStr">
        <is>
          <t>Power</t>
        </is>
      </c>
      <c r="B343" s="3" t="inlineStr">
        <is>
          <t>power</t>
        </is>
      </c>
      <c r="C343" s="4" t="inlineStr">
        <is>
          <t>https://irishfamilysurnames.com/product/power/</t>
        </is>
      </c>
      <c r="D343" s="3">
        <f>IMAGE("https://irishfamilysurnames.com/wp-content/uploads/2021/04/power-B-H.jpg")</f>
        <v/>
      </c>
      <c r="E343" s="4" t="inlineStr">
        <is>
          <t>https://irishfamilysurnames.com/wp-content/uploads/2021/04/power-B-H.jpg</t>
        </is>
      </c>
    </row>
    <row r="344" ht="75" customHeight="1">
      <c r="A344" s="3" t="inlineStr">
        <is>
          <t>Powers</t>
        </is>
      </c>
      <c r="B344" s="3" t="inlineStr">
        <is>
          <t>powers</t>
        </is>
      </c>
      <c r="C344" s="4" t="inlineStr">
        <is>
          <t>https://irishfamilysurnames.com/product/powers/</t>
        </is>
      </c>
      <c r="D344" s="3">
        <f>IMAGE("https://irishfamilysurnames.com/wp-content/uploads/2021/04/powers-B-H.jpg")</f>
        <v/>
      </c>
      <c r="E344" s="4" t="inlineStr">
        <is>
          <t>https://irishfamilysurnames.com/wp-content/uploads/2021/04/powers-B-H.jpg</t>
        </is>
      </c>
    </row>
    <row r="345" ht="75" customHeight="1">
      <c r="A345" s="3" t="inlineStr">
        <is>
          <t>Quigley</t>
        </is>
      </c>
      <c r="B345" s="3" t="inlineStr">
        <is>
          <t>quigley</t>
        </is>
      </c>
      <c r="C345" s="4" t="inlineStr">
        <is>
          <t>https://irishfamilysurnames.com/product/quigley/</t>
        </is>
      </c>
      <c r="D345" s="3">
        <f>IMAGE("https://irishfamilysurnames.com/wp-content/uploads/2021/04/quigley-B-H.jpg")</f>
        <v/>
      </c>
      <c r="E345" s="4" t="inlineStr">
        <is>
          <t>https://irishfamilysurnames.com/wp-content/uploads/2021/04/quigley-B-H.jpg</t>
        </is>
      </c>
    </row>
    <row r="346" ht="75" customHeight="1">
      <c r="A346" s="3" t="inlineStr">
        <is>
          <t>Quinlan</t>
        </is>
      </c>
      <c r="B346" s="3" t="inlineStr">
        <is>
          <t>quinlan</t>
        </is>
      </c>
      <c r="C346" s="4" t="inlineStr">
        <is>
          <t>https://irishfamilysurnames.com/product/quinlan/</t>
        </is>
      </c>
      <c r="D346" s="3">
        <f>IMAGE("https://irishfamilysurnames.com/wp-content/uploads/2021/04/quinlan-B-H.jpg")</f>
        <v/>
      </c>
      <c r="E346" s="4" t="inlineStr">
        <is>
          <t>https://irishfamilysurnames.com/wp-content/uploads/2021/04/quinlan-B-H.jpg</t>
        </is>
      </c>
    </row>
    <row r="347" ht="75" customHeight="1">
      <c r="A347" s="3" t="inlineStr">
        <is>
          <t>Quinn</t>
        </is>
      </c>
      <c r="B347" s="3" t="inlineStr">
        <is>
          <t>quinn</t>
        </is>
      </c>
      <c r="C347" s="4" t="inlineStr">
        <is>
          <t>https://irishfamilysurnames.com/product/quinn/</t>
        </is>
      </c>
      <c r="D347" s="3">
        <f>IMAGE("https://irishfamilysurnames.com/wp-content/uploads/2021/04/quinn-B-H.jpg")</f>
        <v/>
      </c>
      <c r="E347" s="4" t="inlineStr">
        <is>
          <t>https://irishfamilysurnames.com/wp-content/uploads/2021/04/quinn-B-H.jpg</t>
        </is>
      </c>
    </row>
    <row r="348" ht="75" customHeight="1">
      <c r="A348" s="3" t="inlineStr">
        <is>
          <t>Rafferty</t>
        </is>
      </c>
      <c r="B348" s="3" t="inlineStr">
        <is>
          <t>rafferty</t>
        </is>
      </c>
      <c r="C348" s="4" t="inlineStr">
        <is>
          <t>https://irishfamilysurnames.com/product/rafferty/</t>
        </is>
      </c>
      <c r="D348" s="3">
        <f>IMAGE("https://irishfamilysurnames.com/wp-content/uploads/2021/04/rafferty-B-H.jpg")</f>
        <v/>
      </c>
      <c r="E348" s="4" t="inlineStr">
        <is>
          <t>https://irishfamilysurnames.com/wp-content/uploads/2021/04/rafferty-B-H.jpg</t>
        </is>
      </c>
    </row>
    <row r="349" ht="75" customHeight="1">
      <c r="A349" s="3" t="inlineStr">
        <is>
          <t>Reagan</t>
        </is>
      </c>
      <c r="B349" s="3" t="inlineStr">
        <is>
          <t>reagan</t>
        </is>
      </c>
      <c r="C349" s="4" t="inlineStr">
        <is>
          <t>https://irishfamilysurnames.com/product/reagan/</t>
        </is>
      </c>
      <c r="D349" s="3">
        <f>IMAGE("https://irishfamilysurnames.com/wp-content/uploads/2021/04/reagan-B-H.jpg")</f>
        <v/>
      </c>
      <c r="E349" s="4" t="inlineStr">
        <is>
          <t>https://irishfamilysurnames.com/wp-content/uploads/2021/04/reagan-B-H.jpg</t>
        </is>
      </c>
    </row>
    <row r="350" ht="75" customHeight="1">
      <c r="A350" s="3" t="inlineStr">
        <is>
          <t>Reardon</t>
        </is>
      </c>
      <c r="B350" s="3" t="inlineStr">
        <is>
          <t>reardon</t>
        </is>
      </c>
      <c r="C350" s="4" t="inlineStr">
        <is>
          <t>https://irishfamilysurnames.com/product/reardon/</t>
        </is>
      </c>
      <c r="D350" s="3">
        <f>IMAGE("https://irishfamilysurnames.com/wp-content/uploads/2021/04/reardon-B-H.jpg")</f>
        <v/>
      </c>
      <c r="E350" s="4" t="inlineStr">
        <is>
          <t>https://irishfamilysurnames.com/wp-content/uploads/2021/04/reardon-B-H.jpg</t>
        </is>
      </c>
    </row>
    <row r="351" ht="75" customHeight="1">
      <c r="A351" s="3" t="inlineStr">
        <is>
          <t>Redmond</t>
        </is>
      </c>
      <c r="B351" s="3" t="inlineStr">
        <is>
          <t>redmond</t>
        </is>
      </c>
      <c r="C351" s="4" t="inlineStr">
        <is>
          <t>https://irishfamilysurnames.com/product/redmond/</t>
        </is>
      </c>
      <c r="D351" s="3">
        <f>IMAGE("https://irishfamilysurnames.com/wp-content/uploads/2021/04/redmond-B-H.jpg")</f>
        <v/>
      </c>
      <c r="E351" s="4" t="inlineStr">
        <is>
          <t>https://irishfamilysurnames.com/wp-content/uploads/2021/04/redmond-B-H.jpg</t>
        </is>
      </c>
    </row>
    <row r="352" ht="75" customHeight="1">
      <c r="A352" s="3" t="inlineStr">
        <is>
          <t>Regan</t>
        </is>
      </c>
      <c r="B352" s="3" t="inlineStr">
        <is>
          <t>regan</t>
        </is>
      </c>
      <c r="C352" s="4" t="inlineStr">
        <is>
          <t>https://irishfamilysurnames.com/product/regan/</t>
        </is>
      </c>
      <c r="D352" s="3">
        <f>IMAGE("https://irishfamilysurnames.com/wp-content/uploads/2021/04/regan-B-H.jpg")</f>
        <v/>
      </c>
      <c r="E352" s="4" t="inlineStr">
        <is>
          <t>https://irishfamilysurnames.com/wp-content/uploads/2021/04/regan-B-H.jpg</t>
        </is>
      </c>
    </row>
    <row r="353" ht="75" customHeight="1">
      <c r="A353" s="3" t="inlineStr">
        <is>
          <t>Reid</t>
        </is>
      </c>
      <c r="B353" s="3" t="inlineStr">
        <is>
          <t>reid</t>
        </is>
      </c>
      <c r="C353" s="4" t="inlineStr">
        <is>
          <t>https://irishfamilysurnames.com/product/reid/</t>
        </is>
      </c>
      <c r="D353" s="3">
        <f>IMAGE("https://irishfamilysurnames.com/wp-content/uploads/2021/04/reid-B-H.jpg")</f>
        <v/>
      </c>
      <c r="E353" s="4" t="inlineStr">
        <is>
          <t>https://irishfamilysurnames.com/wp-content/uploads/2021/04/reid-B-H.jpg</t>
        </is>
      </c>
    </row>
    <row r="354" ht="75" customHeight="1">
      <c r="A354" s="3" t="inlineStr">
        <is>
          <t>Reilly</t>
        </is>
      </c>
      <c r="B354" s="3" t="inlineStr">
        <is>
          <t>reilly</t>
        </is>
      </c>
      <c r="C354" s="4" t="inlineStr">
        <is>
          <t>https://irishfamilysurnames.com/product/reilly/</t>
        </is>
      </c>
      <c r="D354" s="3">
        <f>IMAGE("https://irishfamilysurnames.com/wp-content/uploads/2021/04/reilly-B-H.jpg")</f>
        <v/>
      </c>
      <c r="E354" s="4" t="inlineStr">
        <is>
          <t>https://irishfamilysurnames.com/wp-content/uploads/2021/04/reilly-B-H.jpg</t>
        </is>
      </c>
    </row>
    <row r="355" ht="75" customHeight="1">
      <c r="A355" s="3" t="inlineStr">
        <is>
          <t>Reynolds</t>
        </is>
      </c>
      <c r="B355" s="3" t="inlineStr">
        <is>
          <t>reynolds</t>
        </is>
      </c>
      <c r="C355" s="4" t="inlineStr">
        <is>
          <t>https://irishfamilysurnames.com/product/reynolds/</t>
        </is>
      </c>
      <c r="D355" s="3">
        <f>IMAGE("https://irishfamilysurnames.com/wp-content/uploads/2021/04/reynolds-B-H.jpg")</f>
        <v/>
      </c>
      <c r="E355" s="4" t="inlineStr">
        <is>
          <t>https://irishfamilysurnames.com/wp-content/uploads/2021/04/reynolds-B-H.jpg</t>
        </is>
      </c>
    </row>
    <row r="356" ht="75" customHeight="1">
      <c r="A356" s="3" t="inlineStr">
        <is>
          <t>Riley</t>
        </is>
      </c>
      <c r="B356" s="3" t="inlineStr">
        <is>
          <t>riley</t>
        </is>
      </c>
      <c r="C356" s="4" t="inlineStr">
        <is>
          <t>https://irishfamilysurnames.com/product/riley/</t>
        </is>
      </c>
      <c r="D356" s="3">
        <f>IMAGE("https://irishfamilysurnames.com/wp-content/uploads/2021/04/riley-B-H.jpg")</f>
        <v/>
      </c>
      <c r="E356" s="4" t="inlineStr">
        <is>
          <t>https://irishfamilysurnames.com/wp-content/uploads/2021/04/riley-B-H.jpg</t>
        </is>
      </c>
    </row>
    <row r="357" ht="75" customHeight="1">
      <c r="A357" s="3" t="inlineStr">
        <is>
          <t>Riordan</t>
        </is>
      </c>
      <c r="B357" s="3" t="inlineStr">
        <is>
          <t>riordan</t>
        </is>
      </c>
      <c r="C357" s="4" t="inlineStr">
        <is>
          <t>https://irishfamilysurnames.com/product/riordan/</t>
        </is>
      </c>
      <c r="D357" s="3">
        <f>IMAGE("https://irishfamilysurnames.com/wp-content/uploads/2021/04/riordan-B-H.jpg")</f>
        <v/>
      </c>
      <c r="E357" s="4" t="inlineStr">
        <is>
          <t>https://irishfamilysurnames.com/wp-content/uploads/2021/04/riordan-B-H.jpg</t>
        </is>
      </c>
    </row>
    <row r="358" ht="75" customHeight="1">
      <c r="A358" s="3" t="inlineStr">
        <is>
          <t>Roach</t>
        </is>
      </c>
      <c r="B358" s="3" t="inlineStr">
        <is>
          <t>roach</t>
        </is>
      </c>
      <c r="C358" s="4" t="inlineStr">
        <is>
          <t>https://irishfamilysurnames.com/product/roach/</t>
        </is>
      </c>
      <c r="D358" s="3">
        <f>IMAGE("https://irishfamilysurnames.com/wp-content/uploads/2021/04/roach-B-H.jpg")</f>
        <v/>
      </c>
      <c r="E358" s="4" t="inlineStr">
        <is>
          <t>https://irishfamilysurnames.com/wp-content/uploads/2021/04/roach-B-H.jpg</t>
        </is>
      </c>
    </row>
    <row r="359" ht="75" customHeight="1">
      <c r="A359" s="3" t="inlineStr">
        <is>
          <t>Roark</t>
        </is>
      </c>
      <c r="B359" s="3" t="inlineStr">
        <is>
          <t>roark</t>
        </is>
      </c>
      <c r="C359" s="4" t="inlineStr">
        <is>
          <t>https://irishfamilysurnames.com/product/roark/</t>
        </is>
      </c>
      <c r="D359" s="3">
        <f>IMAGE("https://irishfamilysurnames.com/wp-content/uploads/2021/04/roark-B-H.jpg")</f>
        <v/>
      </c>
      <c r="E359" s="4" t="inlineStr">
        <is>
          <t>https://irishfamilysurnames.com/wp-content/uploads/2021/04/roark-B-H.jpg</t>
        </is>
      </c>
    </row>
    <row r="360" ht="75" customHeight="1">
      <c r="A360" s="3" t="inlineStr">
        <is>
          <t>Roche</t>
        </is>
      </c>
      <c r="B360" s="3" t="inlineStr">
        <is>
          <t>roche</t>
        </is>
      </c>
      <c r="C360" s="4" t="inlineStr">
        <is>
          <t>https://irishfamilysurnames.com/product/roche/</t>
        </is>
      </c>
      <c r="D360" s="3">
        <f>IMAGE("https://irishfamilysurnames.com/wp-content/uploads/2021/04/roche-B-H.jpg")</f>
        <v/>
      </c>
      <c r="E360" s="4" t="inlineStr">
        <is>
          <t>https://irishfamilysurnames.com/wp-content/uploads/2021/04/roche-B-H.jpg</t>
        </is>
      </c>
    </row>
    <row r="361" ht="75" customHeight="1">
      <c r="A361" s="3" t="inlineStr">
        <is>
          <t>Rooney</t>
        </is>
      </c>
      <c r="B361" s="3" t="inlineStr">
        <is>
          <t>rooney</t>
        </is>
      </c>
      <c r="C361" s="4" t="inlineStr">
        <is>
          <t>https://irishfamilysurnames.com/product/rooney/</t>
        </is>
      </c>
      <c r="D361" s="3">
        <f>IMAGE("https://irishfamilysurnames.com/wp-content/uploads/2021/04/rooney-B-H.jpg")</f>
        <v/>
      </c>
      <c r="E361" s="4" t="inlineStr">
        <is>
          <t>https://irishfamilysurnames.com/wp-content/uploads/2021/04/rooney-B-H.jpg</t>
        </is>
      </c>
    </row>
    <row r="362" ht="75" customHeight="1">
      <c r="A362" s="3" t="inlineStr">
        <is>
          <t>Rourke</t>
        </is>
      </c>
      <c r="B362" s="3" t="inlineStr">
        <is>
          <t>rourke</t>
        </is>
      </c>
      <c r="C362" s="4" t="inlineStr">
        <is>
          <t>https://irishfamilysurnames.com/product/rourke/</t>
        </is>
      </c>
      <c r="D362" s="3">
        <f>IMAGE("https://irishfamilysurnames.com/wp-content/uploads/2021/04/rourke-B-H.jpg")</f>
        <v/>
      </c>
      <c r="E362" s="4" t="inlineStr">
        <is>
          <t>https://irishfamilysurnames.com/wp-content/uploads/2021/04/rourke-B-H.jpg</t>
        </is>
      </c>
    </row>
    <row r="363" ht="75" customHeight="1">
      <c r="A363" s="3" t="inlineStr">
        <is>
          <t>Russell</t>
        </is>
      </c>
      <c r="B363" s="3" t="inlineStr">
        <is>
          <t>russell</t>
        </is>
      </c>
      <c r="C363" s="4" t="inlineStr">
        <is>
          <t>https://irishfamilysurnames.com/product/russell/</t>
        </is>
      </c>
      <c r="D363" s="3">
        <f>IMAGE("https://irishfamilysurnames.com/wp-content/uploads/2021/04/russell-B-H.jpg")</f>
        <v/>
      </c>
      <c r="E363" s="4" t="inlineStr">
        <is>
          <t>https://irishfamilysurnames.com/wp-content/uploads/2021/04/russell-B-H.jpg</t>
        </is>
      </c>
    </row>
    <row r="364" ht="75" customHeight="1">
      <c r="A364" s="3" t="inlineStr">
        <is>
          <t>Ryan</t>
        </is>
      </c>
      <c r="B364" s="3" t="inlineStr">
        <is>
          <t>ryan</t>
        </is>
      </c>
      <c r="C364" s="4" t="inlineStr">
        <is>
          <t>https://irishfamilysurnames.com/product/ryan/</t>
        </is>
      </c>
      <c r="D364" s="3">
        <f>IMAGE("https://irishfamilysurnames.com/wp-content/uploads/2021/04/ryan-B-H.jpg")</f>
        <v/>
      </c>
      <c r="E364" s="4" t="inlineStr">
        <is>
          <t>https://irishfamilysurnames.com/wp-content/uploads/2021/04/ryan-B-H.jpg</t>
        </is>
      </c>
    </row>
    <row r="365" ht="75" customHeight="1">
      <c r="A365" s="3" t="inlineStr">
        <is>
          <t>Scott</t>
        </is>
      </c>
      <c r="B365" s="3" t="inlineStr">
        <is>
          <t>scott</t>
        </is>
      </c>
      <c r="C365" s="4" t="inlineStr">
        <is>
          <t>https://irishfamilysurnames.com/product/scott/</t>
        </is>
      </c>
      <c r="D365" s="3">
        <f>IMAGE("https://irishfamilysurnames.com/wp-content/uploads/2021/04/scott-B-H.jpg")</f>
        <v/>
      </c>
      <c r="E365" s="4" t="inlineStr">
        <is>
          <t>https://irishfamilysurnames.com/wp-content/uploads/2021/04/scott-B-H.jpg</t>
        </is>
      </c>
    </row>
    <row r="366" ht="75" customHeight="1">
      <c r="A366" s="3" t="inlineStr">
        <is>
          <t>Scully</t>
        </is>
      </c>
      <c r="B366" s="3" t="inlineStr">
        <is>
          <t>scully</t>
        </is>
      </c>
      <c r="C366" s="4" t="inlineStr">
        <is>
          <t>https://irishfamilysurnames.com/product/scully/</t>
        </is>
      </c>
      <c r="D366" s="3">
        <f>IMAGE("https://irishfamilysurnames.com/wp-content/uploads/2021/04/scully-B-H.jpg")</f>
        <v/>
      </c>
      <c r="E366" s="4" t="inlineStr">
        <is>
          <t>https://irishfamilysurnames.com/wp-content/uploads/2021/04/scully-B-H.jpg</t>
        </is>
      </c>
    </row>
    <row r="367" ht="75" customHeight="1">
      <c r="A367" s="3" t="inlineStr">
        <is>
          <t>Shanahan</t>
        </is>
      </c>
      <c r="B367" s="3" t="inlineStr">
        <is>
          <t>shanahan</t>
        </is>
      </c>
      <c r="C367" s="4" t="inlineStr">
        <is>
          <t>https://irishfamilysurnames.com/product/shanahan/</t>
        </is>
      </c>
      <c r="D367" s="3">
        <f>IMAGE("https://irishfamilysurnames.com/wp-content/uploads/2021/04/shanahan-B-H.jpg")</f>
        <v/>
      </c>
      <c r="E367" s="4" t="inlineStr">
        <is>
          <t>https://irishfamilysurnames.com/wp-content/uploads/2021/04/shanahan-B-H.jpg</t>
        </is>
      </c>
    </row>
    <row r="368" ht="75" customHeight="1">
      <c r="A368" s="3" t="inlineStr">
        <is>
          <t>Shannon</t>
        </is>
      </c>
      <c r="B368" s="3" t="inlineStr">
        <is>
          <t>shannon</t>
        </is>
      </c>
      <c r="C368" s="4" t="inlineStr">
        <is>
          <t>https://irishfamilysurnames.com/product/shannon/</t>
        </is>
      </c>
      <c r="D368" s="3">
        <f>IMAGE("https://irishfamilysurnames.com/wp-content/uploads/2021/04/shannon-B-H.jpg")</f>
        <v/>
      </c>
      <c r="E368" s="4" t="inlineStr">
        <is>
          <t>https://irishfamilysurnames.com/wp-content/uploads/2021/04/shannon-B-H.jpg</t>
        </is>
      </c>
    </row>
    <row r="369" ht="75" customHeight="1">
      <c r="A369" s="3" t="inlineStr">
        <is>
          <t>Shaughnessy</t>
        </is>
      </c>
      <c r="B369" s="3" t="inlineStr">
        <is>
          <t>shaughnessy</t>
        </is>
      </c>
      <c r="C369" s="4" t="inlineStr">
        <is>
          <t>https://irishfamilysurnames.com/product/shaughnessy/</t>
        </is>
      </c>
      <c r="D369" s="3">
        <f>IMAGE("https://irishfamilysurnames.com/wp-content/uploads/2021/04/shaughnessy-B-H.jpg")</f>
        <v/>
      </c>
      <c r="E369" s="4" t="inlineStr">
        <is>
          <t>https://irishfamilysurnames.com/wp-content/uploads/2021/04/shaughnessy-B-H.jpg</t>
        </is>
      </c>
    </row>
    <row r="370" ht="75" customHeight="1">
      <c r="A370" s="3" t="inlineStr">
        <is>
          <t>Shea</t>
        </is>
      </c>
      <c r="B370" s="3" t="inlineStr">
        <is>
          <t>shea</t>
        </is>
      </c>
      <c r="C370" s="4" t="inlineStr">
        <is>
          <t>https://irishfamilysurnames.com/product/shea/</t>
        </is>
      </c>
      <c r="D370" s="3">
        <f>IMAGE("https://irishfamilysurnames.com/wp-content/uploads/2021/04/shea-B-H.jpg")</f>
        <v/>
      </c>
      <c r="E370" s="4" t="inlineStr">
        <is>
          <t>https://irishfamilysurnames.com/wp-content/uploads/2021/04/shea-B-H.jpg</t>
        </is>
      </c>
    </row>
    <row r="371" ht="75" customHeight="1">
      <c r="A371" s="3" t="inlineStr">
        <is>
          <t>Sheehan</t>
        </is>
      </c>
      <c r="B371" s="3" t="inlineStr">
        <is>
          <t>sheehan</t>
        </is>
      </c>
      <c r="C371" s="4" t="inlineStr">
        <is>
          <t>https://irishfamilysurnames.com/product/sheehan/</t>
        </is>
      </c>
      <c r="D371" s="3">
        <f>IMAGE("https://irishfamilysurnames.com/wp-content/uploads/2021/04/sheehan-B-H.jpg")</f>
        <v/>
      </c>
      <c r="E371" s="4" t="inlineStr">
        <is>
          <t>https://irishfamilysurnames.com/wp-content/uploads/2021/04/sheehan-B-H.jpg</t>
        </is>
      </c>
    </row>
    <row r="372" ht="75" customHeight="1">
      <c r="A372" s="3" t="inlineStr">
        <is>
          <t>Sheehy</t>
        </is>
      </c>
      <c r="B372" s="3" t="inlineStr">
        <is>
          <t>sheehy</t>
        </is>
      </c>
      <c r="C372" s="4" t="inlineStr">
        <is>
          <t>https://irishfamilysurnames.com/product/sheehy/</t>
        </is>
      </c>
      <c r="D372" s="3">
        <f>IMAGE("https://irishfamilysurnames.com/wp-content/uploads/2021/04/sheehy-B-H.jpg")</f>
        <v/>
      </c>
      <c r="E372" s="4" t="inlineStr">
        <is>
          <t>https://irishfamilysurnames.com/wp-content/uploads/2021/04/sheehy-B-H.jpg</t>
        </is>
      </c>
    </row>
    <row r="373" ht="75" customHeight="1">
      <c r="A373" s="3" t="inlineStr">
        <is>
          <t>Sheridan</t>
        </is>
      </c>
      <c r="B373" s="3" t="inlineStr">
        <is>
          <t>sheridan</t>
        </is>
      </c>
      <c r="C373" s="4" t="inlineStr">
        <is>
          <t>https://irishfamilysurnames.com/product/sheridan/</t>
        </is>
      </c>
      <c r="D373" s="3">
        <f>IMAGE("https://irishfamilysurnames.com/wp-content/uploads/2021/04/SHERIDAN-B-H-1.jpg")</f>
        <v/>
      </c>
      <c r="E373" s="4" t="inlineStr">
        <is>
          <t>https://irishfamilysurnames.com/wp-content/uploads/2021/04/SHERIDAN-B-H-1.jpg</t>
        </is>
      </c>
    </row>
    <row r="374" ht="75" customHeight="1">
      <c r="A374" s="3" t="inlineStr">
        <is>
          <t>Slattery</t>
        </is>
      </c>
      <c r="B374" s="3" t="inlineStr">
        <is>
          <t>slattery</t>
        </is>
      </c>
      <c r="C374" s="4" t="inlineStr">
        <is>
          <t>https://irishfamilysurnames.com/product/slattery/</t>
        </is>
      </c>
      <c r="D374" s="3">
        <f>IMAGE("https://irishfamilysurnames.com/wp-content/uploads/2021/04/slattery-B-H.jpg")</f>
        <v/>
      </c>
      <c r="E374" s="4" t="inlineStr">
        <is>
          <t>https://irishfamilysurnames.com/wp-content/uploads/2021/04/slattery-B-H.jpg</t>
        </is>
      </c>
    </row>
    <row r="375" ht="75" customHeight="1">
      <c r="A375" s="3" t="inlineStr">
        <is>
          <t>Smith</t>
        </is>
      </c>
      <c r="B375" s="3" t="inlineStr">
        <is>
          <t>smith</t>
        </is>
      </c>
      <c r="C375" s="4" t="inlineStr">
        <is>
          <t>https://irishfamilysurnames.com/product/smith/</t>
        </is>
      </c>
      <c r="D375" s="3">
        <f>IMAGE("https://irishfamilysurnames.com/wp-content/uploads/2021/04/smith-B-H.jpg")</f>
        <v/>
      </c>
      <c r="E375" s="4" t="inlineStr">
        <is>
          <t>https://irishfamilysurnames.com/wp-content/uploads/2021/04/smith-B-H.jpg</t>
        </is>
      </c>
    </row>
    <row r="376" ht="75" customHeight="1">
      <c r="A376" s="3" t="inlineStr">
        <is>
          <t>Smyth</t>
        </is>
      </c>
      <c r="B376" s="3" t="inlineStr">
        <is>
          <t>smyth</t>
        </is>
      </c>
      <c r="C376" s="4" t="inlineStr">
        <is>
          <t>https://irishfamilysurnames.com/product/smyth/</t>
        </is>
      </c>
      <c r="D376" s="3">
        <f>IMAGE("https://irishfamilysurnames.com/wp-content/uploads/2021/04/smyth-B-H.jpg")</f>
        <v/>
      </c>
      <c r="E376" s="4" t="inlineStr">
        <is>
          <t>https://irishfamilysurnames.com/wp-content/uploads/2021/04/smyth-B-H.jpg</t>
        </is>
      </c>
    </row>
    <row r="377" ht="75" customHeight="1">
      <c r="A377" s="3" t="inlineStr">
        <is>
          <t>Stapleton</t>
        </is>
      </c>
      <c r="B377" s="3" t="inlineStr">
        <is>
          <t>stapleton</t>
        </is>
      </c>
      <c r="C377" s="4" t="inlineStr">
        <is>
          <t>https://irishfamilysurnames.com/product/stapleton/</t>
        </is>
      </c>
      <c r="D377" s="3">
        <f>IMAGE("https://irishfamilysurnames.com/wp-content/uploads/2021/04/stapleton-B-H.jpg")</f>
        <v/>
      </c>
      <c r="E377" s="4" t="inlineStr">
        <is>
          <t>https://irishfamilysurnames.com/wp-content/uploads/2021/04/stapleton-B-H.jpg</t>
        </is>
      </c>
    </row>
    <row r="378" ht="75" customHeight="1">
      <c r="A378" s="3" t="inlineStr">
        <is>
          <t>Stewart</t>
        </is>
      </c>
      <c r="B378" s="3" t="inlineStr">
        <is>
          <t>stewart</t>
        </is>
      </c>
      <c r="C378" s="4" t="inlineStr">
        <is>
          <t>https://irishfamilysurnames.com/product/stewart/</t>
        </is>
      </c>
      <c r="D378" s="3">
        <f>IMAGE("https://irishfamilysurnames.com/wp-content/uploads/2021/04/stewart-B-H.jpg")</f>
        <v/>
      </c>
      <c r="E378" s="4" t="inlineStr">
        <is>
          <t>https://irishfamilysurnames.com/wp-content/uploads/2021/04/stewart-B-H.jpg</t>
        </is>
      </c>
    </row>
    <row r="379" ht="75" customHeight="1">
      <c r="A379" s="3" t="inlineStr">
        <is>
          <t>Sullivan</t>
        </is>
      </c>
      <c r="B379" s="3" t="inlineStr">
        <is>
          <t>sullivan</t>
        </is>
      </c>
      <c r="C379" s="4" t="inlineStr">
        <is>
          <t>https://irishfamilysurnames.com/product/sullivan/</t>
        </is>
      </c>
      <c r="D379" s="3">
        <f>IMAGE("https://irishfamilysurnames.com/wp-content/uploads/2021/04/sullivan-B-H.jpg")</f>
        <v/>
      </c>
      <c r="E379" s="4" t="inlineStr">
        <is>
          <t>https://irishfamilysurnames.com/wp-content/uploads/2021/04/sullivan-B-H.jpg</t>
        </is>
      </c>
    </row>
    <row r="380" ht="75" customHeight="1">
      <c r="A380" s="3" t="inlineStr">
        <is>
          <t>Sweeney</t>
        </is>
      </c>
      <c r="B380" s="3" t="inlineStr">
        <is>
          <t>sweeney</t>
        </is>
      </c>
      <c r="C380" s="4" t="inlineStr">
        <is>
          <t>https://irishfamilysurnames.com/product/sweeney/</t>
        </is>
      </c>
      <c r="D380" s="3">
        <f>IMAGE("https://irishfamilysurnames.com/wp-content/uploads/2021/04/sweeney-B-H.jpg")</f>
        <v/>
      </c>
      <c r="E380" s="4" t="inlineStr">
        <is>
          <t>https://irishfamilysurnames.com/wp-content/uploads/2021/04/sweeney-B-H.jpg</t>
        </is>
      </c>
    </row>
    <row r="381" ht="75" customHeight="1">
      <c r="A381" s="3" t="inlineStr">
        <is>
          <t>Taylor</t>
        </is>
      </c>
      <c r="B381" s="3" t="inlineStr">
        <is>
          <t>taylor</t>
        </is>
      </c>
      <c r="C381" s="4" t="inlineStr">
        <is>
          <t>https://irishfamilysurnames.com/product/taylor/</t>
        </is>
      </c>
      <c r="D381" s="3">
        <f>IMAGE("https://irishfamilysurnames.com/wp-content/uploads/2021/04/d-arcy-B-H.jpg")</f>
        <v/>
      </c>
      <c r="E381" s="4" t="inlineStr">
        <is>
          <t>https://irishfamilysurnames.com/wp-content/uploads/2021/04/d-arcy-B-H.jpg</t>
        </is>
      </c>
    </row>
    <row r="382" ht="75" customHeight="1">
      <c r="A382" s="3" t="inlineStr">
        <is>
          <t>Taylor 2</t>
        </is>
      </c>
      <c r="B382" s="3" t="inlineStr">
        <is>
          <t>taylor-2</t>
        </is>
      </c>
      <c r="C382" s="4" t="inlineStr">
        <is>
          <t>https://irishfamilysurnames.com/product/taylor-2/</t>
        </is>
      </c>
      <c r="D382" s="3">
        <f>IMAGE("https://irishfamilysurnames.com/wp-content/uploads/2021/04/taylor-B-H.jpg")</f>
        <v/>
      </c>
      <c r="E382" s="4" t="inlineStr">
        <is>
          <t>https://irishfamilysurnames.com/wp-content/uploads/2021/04/taylor-B-H.jpg</t>
        </is>
      </c>
    </row>
    <row r="383" ht="75" customHeight="1">
      <c r="A383" s="3" t="inlineStr">
        <is>
          <t>Thompson</t>
        </is>
      </c>
      <c r="B383" s="3" t="inlineStr">
        <is>
          <t>thompson</t>
        </is>
      </c>
      <c r="C383" s="4" t="inlineStr">
        <is>
          <t>https://irishfamilysurnames.com/product/thompson/</t>
        </is>
      </c>
      <c r="D383" s="3">
        <f>IMAGE("https://irishfamilysurnames.com/wp-content/uploads/2021/04/thompson-B-H.jpg")</f>
        <v/>
      </c>
      <c r="E383" s="4" t="inlineStr">
        <is>
          <t>https://irishfamilysurnames.com/wp-content/uploads/2021/04/thompson-B-H.jpg</t>
        </is>
      </c>
    </row>
    <row r="384" ht="75" customHeight="1">
      <c r="A384" s="3" t="inlineStr">
        <is>
          <t>Tierney</t>
        </is>
      </c>
      <c r="B384" s="3" t="inlineStr">
        <is>
          <t>tierney</t>
        </is>
      </c>
      <c r="C384" s="4" t="inlineStr">
        <is>
          <t>https://irishfamilysurnames.com/product/tierney/</t>
        </is>
      </c>
      <c r="D384" s="3">
        <f>IMAGE("https://irishfamilysurnames.com/wp-content/uploads/2021/04/tierney-B-H.jpg")</f>
        <v/>
      </c>
      <c r="E384" s="4" t="inlineStr">
        <is>
          <t>https://irishfamilysurnames.com/wp-content/uploads/2021/04/tierney-B-H.jpg</t>
        </is>
      </c>
    </row>
    <row r="385" ht="75" customHeight="1">
      <c r="A385" s="3" t="inlineStr">
        <is>
          <t>Tobin</t>
        </is>
      </c>
      <c r="B385" s="3" t="inlineStr">
        <is>
          <t>tobin</t>
        </is>
      </c>
      <c r="C385" s="4" t="inlineStr">
        <is>
          <t>https://irishfamilysurnames.com/product/tobin/</t>
        </is>
      </c>
      <c r="D385" s="3">
        <f>IMAGE("https://irishfamilysurnames.com/wp-content/uploads/2021/04/tobin-B-H.jpg")</f>
        <v/>
      </c>
      <c r="E385" s="4" t="inlineStr">
        <is>
          <t>https://irishfamilysurnames.com/wp-content/uploads/2021/04/tobin-B-H.jpg</t>
        </is>
      </c>
    </row>
    <row r="386" ht="75" customHeight="1">
      <c r="A386" s="3" t="inlineStr">
        <is>
          <t>Toole</t>
        </is>
      </c>
      <c r="B386" s="3" t="inlineStr">
        <is>
          <t>toole</t>
        </is>
      </c>
      <c r="C386" s="4" t="inlineStr">
        <is>
          <t>https://irishfamilysurnames.com/product/toole/</t>
        </is>
      </c>
      <c r="D386" s="3">
        <f>IMAGE("https://irishfamilysurnames.com/wp-content/uploads/2021/04/toole-B-H.jpg")</f>
        <v/>
      </c>
      <c r="E386" s="4" t="inlineStr">
        <is>
          <t>https://irishfamilysurnames.com/wp-content/uploads/2021/04/toole-B-H.jpg</t>
        </is>
      </c>
    </row>
    <row r="387" ht="75" customHeight="1">
      <c r="A387" s="3" t="inlineStr">
        <is>
          <t>Tracy</t>
        </is>
      </c>
      <c r="B387" s="3" t="inlineStr">
        <is>
          <t>tracy</t>
        </is>
      </c>
      <c r="C387" s="4" t="inlineStr">
        <is>
          <t>https://irishfamilysurnames.com/product/tracy/</t>
        </is>
      </c>
      <c r="D387" s="3">
        <f>IMAGE("https://irishfamilysurnames.com/wp-content/uploads/2021/04/tracy-B-H.jpg")</f>
        <v/>
      </c>
      <c r="E387" s="4" t="inlineStr">
        <is>
          <t>https://irishfamilysurnames.com/wp-content/uploads/2021/04/tracy-B-H.jpg</t>
        </is>
      </c>
    </row>
    <row r="388" ht="75" customHeight="1">
      <c r="A388" s="3" t="inlineStr">
        <is>
          <t>Treacy</t>
        </is>
      </c>
      <c r="B388" s="3" t="inlineStr">
        <is>
          <t>treacy</t>
        </is>
      </c>
      <c r="C388" s="4" t="inlineStr">
        <is>
          <t>https://irishfamilysurnames.com/product/treacy/</t>
        </is>
      </c>
      <c r="D388" s="3">
        <f>IMAGE("https://irishfamilysurnames.com/wp-content/uploads/2021/04/treacy-B-H.jpg")</f>
        <v/>
      </c>
      <c r="E388" s="4" t="inlineStr">
        <is>
          <t>https://irishfamilysurnames.com/wp-content/uploads/2021/04/treacy-B-H.jpg</t>
        </is>
      </c>
    </row>
    <row r="389" ht="75" customHeight="1">
      <c r="A389" s="3" t="inlineStr">
        <is>
          <t>Walker</t>
        </is>
      </c>
      <c r="B389" s="3" t="inlineStr">
        <is>
          <t>walker</t>
        </is>
      </c>
      <c r="C389" s="4" t="inlineStr">
        <is>
          <t>https://irishfamilysurnames.com/product/walker/</t>
        </is>
      </c>
      <c r="D389" s="3">
        <f>IMAGE("https://irishfamilysurnames.com/wp-content/uploads/2021/04/walker-B-H.jpg")</f>
        <v/>
      </c>
      <c r="E389" s="4" t="inlineStr">
        <is>
          <t>https://irishfamilysurnames.com/wp-content/uploads/2021/04/walker-B-H.jpg</t>
        </is>
      </c>
    </row>
    <row r="390" ht="75" customHeight="1">
      <c r="A390" s="3" t="inlineStr">
        <is>
          <t>Wall</t>
        </is>
      </c>
      <c r="B390" s="3" t="inlineStr">
        <is>
          <t>wall</t>
        </is>
      </c>
      <c r="C390" s="4" t="inlineStr">
        <is>
          <t>https://irishfamilysurnames.com/product/wall/</t>
        </is>
      </c>
      <c r="D390" s="3">
        <f>IMAGE("https://irishfamilysurnames.com/wp-content/uploads/2021/04/wall-B-H.jpg")</f>
        <v/>
      </c>
      <c r="E390" s="4" t="inlineStr">
        <is>
          <t>https://irishfamilysurnames.com/wp-content/uploads/2021/04/wall-B-H.jpg</t>
        </is>
      </c>
    </row>
    <row r="391" ht="75" customHeight="1">
      <c r="A391" s="3" t="inlineStr">
        <is>
          <t>Walsh</t>
        </is>
      </c>
      <c r="B391" s="3" t="inlineStr">
        <is>
          <t>walsh</t>
        </is>
      </c>
      <c r="C391" s="4" t="inlineStr">
        <is>
          <t>https://irishfamilysurnames.com/product/walsh/</t>
        </is>
      </c>
      <c r="D391" s="3">
        <f>IMAGE("https://irishfamilysurnames.com/wp-content/uploads/2021/04/walsh-B-H.jpg")</f>
        <v/>
      </c>
      <c r="E391" s="4" t="inlineStr">
        <is>
          <t>https://irishfamilysurnames.com/wp-content/uploads/2021/04/walsh-B-H.jpg</t>
        </is>
      </c>
    </row>
    <row r="392" ht="75" customHeight="1">
      <c r="A392" s="3" t="inlineStr">
        <is>
          <t>Walshe</t>
        </is>
      </c>
      <c r="B392" s="3" t="inlineStr">
        <is>
          <t>walshe</t>
        </is>
      </c>
      <c r="C392" s="4" t="inlineStr">
        <is>
          <t>https://irishfamilysurnames.com/product/walshe/</t>
        </is>
      </c>
      <c r="D392" s="3">
        <f>IMAGE("https://irishfamilysurnames.com/wp-content/uploads/2021/04/walshe-B-H.jpg")</f>
        <v/>
      </c>
      <c r="E392" s="4" t="inlineStr">
        <is>
          <t>https://irishfamilysurnames.com/wp-content/uploads/2021/04/walshe-B-H.jpg</t>
        </is>
      </c>
    </row>
    <row r="393" ht="75" customHeight="1">
      <c r="A393" s="3" t="inlineStr">
        <is>
          <t>Ward</t>
        </is>
      </c>
      <c r="B393" s="3" t="inlineStr">
        <is>
          <t>ward</t>
        </is>
      </c>
      <c r="C393" s="4" t="inlineStr">
        <is>
          <t>https://irishfamilysurnames.com/product/ward/</t>
        </is>
      </c>
      <c r="D393" s="3">
        <f>IMAGE("https://irishfamilysurnames.com/wp-content/uploads/2021/04/ward-B-H.jpg")</f>
        <v/>
      </c>
      <c r="E393" s="4" t="inlineStr">
        <is>
          <t>https://irishfamilysurnames.com/wp-content/uploads/2021/04/ward-B-H.jpg</t>
        </is>
      </c>
    </row>
    <row r="394" ht="75" customHeight="1">
      <c r="A394" s="3" t="inlineStr">
        <is>
          <t>Welsh</t>
        </is>
      </c>
      <c r="B394" s="3" t="inlineStr">
        <is>
          <t>welsh</t>
        </is>
      </c>
      <c r="C394" s="4" t="inlineStr">
        <is>
          <t>https://irishfamilysurnames.com/product/welsh/</t>
        </is>
      </c>
      <c r="D394" s="3">
        <f>IMAGE("https://irishfamilysurnames.com/wp-content/uploads/2021/04/welsh-B-H.jpg")</f>
        <v/>
      </c>
      <c r="E394" s="4" t="inlineStr">
        <is>
          <t>https://irishfamilysurnames.com/wp-content/uploads/2021/04/welsh-B-H.jpg</t>
        </is>
      </c>
    </row>
    <row r="395" ht="75" customHeight="1">
      <c r="A395" s="3" t="inlineStr">
        <is>
          <t>Whalen</t>
        </is>
      </c>
      <c r="B395" s="3" t="inlineStr">
        <is>
          <t>whalen</t>
        </is>
      </c>
      <c r="C395" s="4" t="inlineStr">
        <is>
          <t>https://irishfamilysurnames.com/product/whalen/</t>
        </is>
      </c>
      <c r="D395" s="3">
        <f>IMAGE("https://irishfamilysurnames.com/wp-content/uploads/2021/04/whalen-B-H.jpg")</f>
        <v/>
      </c>
      <c r="E395" s="4" t="inlineStr">
        <is>
          <t>https://irishfamilysurnames.com/wp-content/uploads/2021/04/whalen-B-H.jpg</t>
        </is>
      </c>
    </row>
    <row r="396" ht="75" customHeight="1">
      <c r="A396" s="3" t="inlineStr">
        <is>
          <t>Whelan</t>
        </is>
      </c>
      <c r="B396" s="3" t="inlineStr">
        <is>
          <t>whelan</t>
        </is>
      </c>
      <c r="C396" s="4" t="inlineStr">
        <is>
          <t>https://irishfamilysurnames.com/product/whelan/</t>
        </is>
      </c>
      <c r="D396" s="3">
        <f>IMAGE("https://irishfamilysurnames.com/wp-content/uploads/2021/04/whelan-B-H.jpg")</f>
        <v/>
      </c>
      <c r="E396" s="4" t="inlineStr">
        <is>
          <t>https://irishfamilysurnames.com/wp-content/uploads/2021/04/whelan-B-H.jpg</t>
        </is>
      </c>
    </row>
    <row r="397" ht="75" customHeight="1">
      <c r="A397" s="3" t="inlineStr">
        <is>
          <t>White</t>
        </is>
      </c>
      <c r="B397" s="3" t="inlineStr">
        <is>
          <t>white</t>
        </is>
      </c>
      <c r="C397" s="4" t="inlineStr">
        <is>
          <t>https://irishfamilysurnames.com/product/white/</t>
        </is>
      </c>
      <c r="D397" s="3">
        <f>IMAGE("https://irishfamilysurnames.com/wp-content/uploads/2021/04/white-B-H.jpg")</f>
        <v/>
      </c>
      <c r="E397" s="4" t="inlineStr">
        <is>
          <t>https://irishfamilysurnames.com/wp-content/uploads/2021/04/white-B-H.jpg</t>
        </is>
      </c>
    </row>
    <row r="398" ht="75" customHeight="1">
      <c r="A398" s="3" t="inlineStr">
        <is>
          <t>Williams</t>
        </is>
      </c>
      <c r="B398" s="3" t="inlineStr">
        <is>
          <t>williams</t>
        </is>
      </c>
      <c r="C398" s="4" t="inlineStr">
        <is>
          <t>https://irishfamilysurnames.com/product/williams/</t>
        </is>
      </c>
      <c r="D398" s="3">
        <f>IMAGE("https://irishfamilysurnames.com/wp-content/uploads/2021/04/williams-B-H.jpg")</f>
        <v/>
      </c>
      <c r="E398" s="4" t="inlineStr">
        <is>
          <t>https://irishfamilysurnames.com/wp-content/uploads/2021/04/williams-B-H.jpg</t>
        </is>
      </c>
    </row>
    <row r="399" ht="75" customHeight="1">
      <c r="A399" s="3" t="inlineStr">
        <is>
          <t>Wilson</t>
        </is>
      </c>
      <c r="B399" s="3" t="inlineStr">
        <is>
          <t>wilson</t>
        </is>
      </c>
      <c r="C399" s="4" t="inlineStr">
        <is>
          <t>https://irishfamilysurnames.com/product/wilson/</t>
        </is>
      </c>
      <c r="D399" s="3">
        <f>IMAGE("https://irishfamilysurnames.com/wp-content/uploads/2021/04/wilson-B-H.jpg")</f>
        <v/>
      </c>
      <c r="E399" s="4" t="inlineStr">
        <is>
          <t>https://irishfamilysurnames.com/wp-content/uploads/2021/04/wilson-B-H.jpg</t>
        </is>
      </c>
    </row>
    <row r="400" ht="75" customHeight="1">
      <c r="A400" s="3" t="inlineStr">
        <is>
          <t>Woods</t>
        </is>
      </c>
      <c r="B400" s="3" t="inlineStr">
        <is>
          <t>woods</t>
        </is>
      </c>
      <c r="C400" s="4" t="inlineStr">
        <is>
          <t>https://irishfamilysurnames.com/product/woods/</t>
        </is>
      </c>
      <c r="D400" s="3">
        <f>IMAGE("https://irishfamilysurnames.com/wp-content/uploads/2021/04/woods-B-H.jpg")</f>
        <v/>
      </c>
      <c r="E400" s="4" t="inlineStr">
        <is>
          <t>https://irishfamilysurnames.com/wp-content/uploads/2021/04/woods-B-H.jpg</t>
        </is>
      </c>
    </row>
    <row r="401" ht="75" customHeight="1">
      <c r="A401" s="3" t="inlineStr">
        <is>
          <t>Young</t>
        </is>
      </c>
      <c r="B401" s="3" t="inlineStr">
        <is>
          <t>young</t>
        </is>
      </c>
      <c r="C401" s="4" t="inlineStr">
        <is>
          <t>https://irishfamilysurnames.com/product/young/</t>
        </is>
      </c>
      <c r="D401" s="3">
        <f>IMAGE("https://irishfamilysurnames.com/wp-content/uploads/2021/04/young-B-H.jpg")</f>
        <v/>
      </c>
      <c r="E401" s="4" t="inlineStr">
        <is>
          <t>https://irishfamilysurnames.com/wp-content/uploads/2021/04/young-B-H.jpg</t>
        </is>
      </c>
    </row>
  </sheetData>
  <autoFilter ref="A1:E401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C14" r:id="rId25"/>
    <hyperlink xmlns:r="http://schemas.openxmlformats.org/officeDocument/2006/relationships" ref="E14" r:id="rId26"/>
    <hyperlink xmlns:r="http://schemas.openxmlformats.org/officeDocument/2006/relationships" ref="C15" r:id="rId27"/>
    <hyperlink xmlns:r="http://schemas.openxmlformats.org/officeDocument/2006/relationships" ref="E15" r:id="rId28"/>
    <hyperlink xmlns:r="http://schemas.openxmlformats.org/officeDocument/2006/relationships" ref="C16" r:id="rId29"/>
    <hyperlink xmlns:r="http://schemas.openxmlformats.org/officeDocument/2006/relationships" ref="E16" r:id="rId30"/>
    <hyperlink xmlns:r="http://schemas.openxmlformats.org/officeDocument/2006/relationships" ref="C17" r:id="rId31"/>
    <hyperlink xmlns:r="http://schemas.openxmlformats.org/officeDocument/2006/relationships" ref="E17" r:id="rId32"/>
    <hyperlink xmlns:r="http://schemas.openxmlformats.org/officeDocument/2006/relationships" ref="C18" r:id="rId33"/>
    <hyperlink xmlns:r="http://schemas.openxmlformats.org/officeDocument/2006/relationships" ref="E18" r:id="rId34"/>
    <hyperlink xmlns:r="http://schemas.openxmlformats.org/officeDocument/2006/relationships" ref="C19" r:id="rId35"/>
    <hyperlink xmlns:r="http://schemas.openxmlformats.org/officeDocument/2006/relationships" ref="E19" r:id="rId36"/>
    <hyperlink xmlns:r="http://schemas.openxmlformats.org/officeDocument/2006/relationships" ref="C20" r:id="rId37"/>
    <hyperlink xmlns:r="http://schemas.openxmlformats.org/officeDocument/2006/relationships" ref="E20" r:id="rId38"/>
    <hyperlink xmlns:r="http://schemas.openxmlformats.org/officeDocument/2006/relationships" ref="C21" r:id="rId39"/>
    <hyperlink xmlns:r="http://schemas.openxmlformats.org/officeDocument/2006/relationships" ref="E21" r:id="rId40"/>
    <hyperlink xmlns:r="http://schemas.openxmlformats.org/officeDocument/2006/relationships" ref="C22" r:id="rId41"/>
    <hyperlink xmlns:r="http://schemas.openxmlformats.org/officeDocument/2006/relationships" ref="E22" r:id="rId42"/>
    <hyperlink xmlns:r="http://schemas.openxmlformats.org/officeDocument/2006/relationships" ref="C23" r:id="rId43"/>
    <hyperlink xmlns:r="http://schemas.openxmlformats.org/officeDocument/2006/relationships" ref="E23" r:id="rId44"/>
    <hyperlink xmlns:r="http://schemas.openxmlformats.org/officeDocument/2006/relationships" ref="C24" r:id="rId45"/>
    <hyperlink xmlns:r="http://schemas.openxmlformats.org/officeDocument/2006/relationships" ref="E24" r:id="rId46"/>
    <hyperlink xmlns:r="http://schemas.openxmlformats.org/officeDocument/2006/relationships" ref="C25" r:id="rId47"/>
    <hyperlink xmlns:r="http://schemas.openxmlformats.org/officeDocument/2006/relationships" ref="E25" r:id="rId48"/>
    <hyperlink xmlns:r="http://schemas.openxmlformats.org/officeDocument/2006/relationships" ref="C26" r:id="rId49"/>
    <hyperlink xmlns:r="http://schemas.openxmlformats.org/officeDocument/2006/relationships" ref="E26" r:id="rId50"/>
    <hyperlink xmlns:r="http://schemas.openxmlformats.org/officeDocument/2006/relationships" ref="C27" r:id="rId51"/>
    <hyperlink xmlns:r="http://schemas.openxmlformats.org/officeDocument/2006/relationships" ref="E27" r:id="rId52"/>
    <hyperlink xmlns:r="http://schemas.openxmlformats.org/officeDocument/2006/relationships" ref="C28" r:id="rId53"/>
    <hyperlink xmlns:r="http://schemas.openxmlformats.org/officeDocument/2006/relationships" ref="E28" r:id="rId54"/>
    <hyperlink xmlns:r="http://schemas.openxmlformats.org/officeDocument/2006/relationships" ref="C29" r:id="rId55"/>
    <hyperlink xmlns:r="http://schemas.openxmlformats.org/officeDocument/2006/relationships" ref="E29" r:id="rId56"/>
    <hyperlink xmlns:r="http://schemas.openxmlformats.org/officeDocument/2006/relationships" ref="C30" r:id="rId57"/>
    <hyperlink xmlns:r="http://schemas.openxmlformats.org/officeDocument/2006/relationships" ref="E30" r:id="rId58"/>
    <hyperlink xmlns:r="http://schemas.openxmlformats.org/officeDocument/2006/relationships" ref="C31" r:id="rId59"/>
    <hyperlink xmlns:r="http://schemas.openxmlformats.org/officeDocument/2006/relationships" ref="E31" r:id="rId60"/>
    <hyperlink xmlns:r="http://schemas.openxmlformats.org/officeDocument/2006/relationships" ref="C32" r:id="rId61"/>
    <hyperlink xmlns:r="http://schemas.openxmlformats.org/officeDocument/2006/relationships" ref="E32" r:id="rId62"/>
    <hyperlink xmlns:r="http://schemas.openxmlformats.org/officeDocument/2006/relationships" ref="C33" r:id="rId63"/>
    <hyperlink xmlns:r="http://schemas.openxmlformats.org/officeDocument/2006/relationships" ref="E33" r:id="rId64"/>
    <hyperlink xmlns:r="http://schemas.openxmlformats.org/officeDocument/2006/relationships" ref="C34" r:id="rId65"/>
    <hyperlink xmlns:r="http://schemas.openxmlformats.org/officeDocument/2006/relationships" ref="E34" r:id="rId66"/>
    <hyperlink xmlns:r="http://schemas.openxmlformats.org/officeDocument/2006/relationships" ref="C35" r:id="rId67"/>
    <hyperlink xmlns:r="http://schemas.openxmlformats.org/officeDocument/2006/relationships" ref="E35" r:id="rId68"/>
    <hyperlink xmlns:r="http://schemas.openxmlformats.org/officeDocument/2006/relationships" ref="C36" r:id="rId69"/>
    <hyperlink xmlns:r="http://schemas.openxmlformats.org/officeDocument/2006/relationships" ref="E36" r:id="rId70"/>
    <hyperlink xmlns:r="http://schemas.openxmlformats.org/officeDocument/2006/relationships" ref="C37" r:id="rId71"/>
    <hyperlink xmlns:r="http://schemas.openxmlformats.org/officeDocument/2006/relationships" ref="E37" r:id="rId72"/>
    <hyperlink xmlns:r="http://schemas.openxmlformats.org/officeDocument/2006/relationships" ref="C38" r:id="rId73"/>
    <hyperlink xmlns:r="http://schemas.openxmlformats.org/officeDocument/2006/relationships" ref="E38" r:id="rId74"/>
    <hyperlink xmlns:r="http://schemas.openxmlformats.org/officeDocument/2006/relationships" ref="C39" r:id="rId75"/>
    <hyperlink xmlns:r="http://schemas.openxmlformats.org/officeDocument/2006/relationships" ref="E39" r:id="rId76"/>
    <hyperlink xmlns:r="http://schemas.openxmlformats.org/officeDocument/2006/relationships" ref="C40" r:id="rId77"/>
    <hyperlink xmlns:r="http://schemas.openxmlformats.org/officeDocument/2006/relationships" ref="E40" r:id="rId78"/>
    <hyperlink xmlns:r="http://schemas.openxmlformats.org/officeDocument/2006/relationships" ref="C41" r:id="rId79"/>
    <hyperlink xmlns:r="http://schemas.openxmlformats.org/officeDocument/2006/relationships" ref="E41" r:id="rId80"/>
    <hyperlink xmlns:r="http://schemas.openxmlformats.org/officeDocument/2006/relationships" ref="C42" r:id="rId81"/>
    <hyperlink xmlns:r="http://schemas.openxmlformats.org/officeDocument/2006/relationships" ref="E42" r:id="rId82"/>
    <hyperlink xmlns:r="http://schemas.openxmlformats.org/officeDocument/2006/relationships" ref="C43" r:id="rId83"/>
    <hyperlink xmlns:r="http://schemas.openxmlformats.org/officeDocument/2006/relationships" ref="E43" r:id="rId84"/>
    <hyperlink xmlns:r="http://schemas.openxmlformats.org/officeDocument/2006/relationships" ref="C44" r:id="rId85"/>
    <hyperlink xmlns:r="http://schemas.openxmlformats.org/officeDocument/2006/relationships" ref="E44" r:id="rId86"/>
    <hyperlink xmlns:r="http://schemas.openxmlformats.org/officeDocument/2006/relationships" ref="C45" r:id="rId87"/>
    <hyperlink xmlns:r="http://schemas.openxmlformats.org/officeDocument/2006/relationships" ref="E45" r:id="rId88"/>
    <hyperlink xmlns:r="http://schemas.openxmlformats.org/officeDocument/2006/relationships" ref="C46" r:id="rId89"/>
    <hyperlink xmlns:r="http://schemas.openxmlformats.org/officeDocument/2006/relationships" ref="E46" r:id="rId90"/>
    <hyperlink xmlns:r="http://schemas.openxmlformats.org/officeDocument/2006/relationships" ref="C47" r:id="rId91"/>
    <hyperlink xmlns:r="http://schemas.openxmlformats.org/officeDocument/2006/relationships" ref="E47" r:id="rId92"/>
    <hyperlink xmlns:r="http://schemas.openxmlformats.org/officeDocument/2006/relationships" ref="C48" r:id="rId93"/>
    <hyperlink xmlns:r="http://schemas.openxmlformats.org/officeDocument/2006/relationships" ref="E48" r:id="rId94"/>
    <hyperlink xmlns:r="http://schemas.openxmlformats.org/officeDocument/2006/relationships" ref="C49" r:id="rId95"/>
    <hyperlink xmlns:r="http://schemas.openxmlformats.org/officeDocument/2006/relationships" ref="E49" r:id="rId96"/>
    <hyperlink xmlns:r="http://schemas.openxmlformats.org/officeDocument/2006/relationships" ref="C50" r:id="rId97"/>
    <hyperlink xmlns:r="http://schemas.openxmlformats.org/officeDocument/2006/relationships" ref="E50" r:id="rId98"/>
    <hyperlink xmlns:r="http://schemas.openxmlformats.org/officeDocument/2006/relationships" ref="C51" r:id="rId99"/>
    <hyperlink xmlns:r="http://schemas.openxmlformats.org/officeDocument/2006/relationships" ref="E51" r:id="rId100"/>
    <hyperlink xmlns:r="http://schemas.openxmlformats.org/officeDocument/2006/relationships" ref="C52" r:id="rId101"/>
    <hyperlink xmlns:r="http://schemas.openxmlformats.org/officeDocument/2006/relationships" ref="E52" r:id="rId102"/>
    <hyperlink xmlns:r="http://schemas.openxmlformats.org/officeDocument/2006/relationships" ref="C53" r:id="rId103"/>
    <hyperlink xmlns:r="http://schemas.openxmlformats.org/officeDocument/2006/relationships" ref="E53" r:id="rId104"/>
    <hyperlink xmlns:r="http://schemas.openxmlformats.org/officeDocument/2006/relationships" ref="C54" r:id="rId105"/>
    <hyperlink xmlns:r="http://schemas.openxmlformats.org/officeDocument/2006/relationships" ref="E54" r:id="rId106"/>
    <hyperlink xmlns:r="http://schemas.openxmlformats.org/officeDocument/2006/relationships" ref="C55" r:id="rId107"/>
    <hyperlink xmlns:r="http://schemas.openxmlformats.org/officeDocument/2006/relationships" ref="E55" r:id="rId108"/>
    <hyperlink xmlns:r="http://schemas.openxmlformats.org/officeDocument/2006/relationships" ref="C56" r:id="rId109"/>
    <hyperlink xmlns:r="http://schemas.openxmlformats.org/officeDocument/2006/relationships" ref="E56" r:id="rId110"/>
    <hyperlink xmlns:r="http://schemas.openxmlformats.org/officeDocument/2006/relationships" ref="C57" r:id="rId111"/>
    <hyperlink xmlns:r="http://schemas.openxmlformats.org/officeDocument/2006/relationships" ref="E57" r:id="rId112"/>
    <hyperlink xmlns:r="http://schemas.openxmlformats.org/officeDocument/2006/relationships" ref="C58" r:id="rId113"/>
    <hyperlink xmlns:r="http://schemas.openxmlformats.org/officeDocument/2006/relationships" ref="E58" r:id="rId114"/>
    <hyperlink xmlns:r="http://schemas.openxmlformats.org/officeDocument/2006/relationships" ref="C59" r:id="rId115"/>
    <hyperlink xmlns:r="http://schemas.openxmlformats.org/officeDocument/2006/relationships" ref="E59" r:id="rId116"/>
    <hyperlink xmlns:r="http://schemas.openxmlformats.org/officeDocument/2006/relationships" ref="C60" r:id="rId117"/>
    <hyperlink xmlns:r="http://schemas.openxmlformats.org/officeDocument/2006/relationships" ref="E60" r:id="rId118"/>
    <hyperlink xmlns:r="http://schemas.openxmlformats.org/officeDocument/2006/relationships" ref="C61" r:id="rId119"/>
    <hyperlink xmlns:r="http://schemas.openxmlformats.org/officeDocument/2006/relationships" ref="E61" r:id="rId120"/>
    <hyperlink xmlns:r="http://schemas.openxmlformats.org/officeDocument/2006/relationships" ref="C62" r:id="rId121"/>
    <hyperlink xmlns:r="http://schemas.openxmlformats.org/officeDocument/2006/relationships" ref="E62" r:id="rId122"/>
    <hyperlink xmlns:r="http://schemas.openxmlformats.org/officeDocument/2006/relationships" ref="C63" r:id="rId123"/>
    <hyperlink xmlns:r="http://schemas.openxmlformats.org/officeDocument/2006/relationships" ref="E63" r:id="rId124"/>
    <hyperlink xmlns:r="http://schemas.openxmlformats.org/officeDocument/2006/relationships" ref="C64" r:id="rId125"/>
    <hyperlink xmlns:r="http://schemas.openxmlformats.org/officeDocument/2006/relationships" ref="E64" r:id="rId126"/>
    <hyperlink xmlns:r="http://schemas.openxmlformats.org/officeDocument/2006/relationships" ref="C65" r:id="rId127"/>
    <hyperlink xmlns:r="http://schemas.openxmlformats.org/officeDocument/2006/relationships" ref="E65" r:id="rId128"/>
    <hyperlink xmlns:r="http://schemas.openxmlformats.org/officeDocument/2006/relationships" ref="C66" r:id="rId129"/>
    <hyperlink xmlns:r="http://schemas.openxmlformats.org/officeDocument/2006/relationships" ref="E66" r:id="rId130"/>
    <hyperlink xmlns:r="http://schemas.openxmlformats.org/officeDocument/2006/relationships" ref="C67" r:id="rId131"/>
    <hyperlink xmlns:r="http://schemas.openxmlformats.org/officeDocument/2006/relationships" ref="E67" r:id="rId132"/>
    <hyperlink xmlns:r="http://schemas.openxmlformats.org/officeDocument/2006/relationships" ref="C68" r:id="rId133"/>
    <hyperlink xmlns:r="http://schemas.openxmlformats.org/officeDocument/2006/relationships" ref="E68" r:id="rId134"/>
    <hyperlink xmlns:r="http://schemas.openxmlformats.org/officeDocument/2006/relationships" ref="C69" r:id="rId135"/>
    <hyperlink xmlns:r="http://schemas.openxmlformats.org/officeDocument/2006/relationships" ref="E69" r:id="rId136"/>
    <hyperlink xmlns:r="http://schemas.openxmlformats.org/officeDocument/2006/relationships" ref="C70" r:id="rId137"/>
    <hyperlink xmlns:r="http://schemas.openxmlformats.org/officeDocument/2006/relationships" ref="E70" r:id="rId138"/>
    <hyperlink xmlns:r="http://schemas.openxmlformats.org/officeDocument/2006/relationships" ref="C71" r:id="rId139"/>
    <hyperlink xmlns:r="http://schemas.openxmlformats.org/officeDocument/2006/relationships" ref="E71" r:id="rId140"/>
    <hyperlink xmlns:r="http://schemas.openxmlformats.org/officeDocument/2006/relationships" ref="C72" r:id="rId141"/>
    <hyperlink xmlns:r="http://schemas.openxmlformats.org/officeDocument/2006/relationships" ref="E72" r:id="rId142"/>
    <hyperlink xmlns:r="http://schemas.openxmlformats.org/officeDocument/2006/relationships" ref="C73" r:id="rId143"/>
    <hyperlink xmlns:r="http://schemas.openxmlformats.org/officeDocument/2006/relationships" ref="E73" r:id="rId144"/>
    <hyperlink xmlns:r="http://schemas.openxmlformats.org/officeDocument/2006/relationships" ref="C74" r:id="rId145"/>
    <hyperlink xmlns:r="http://schemas.openxmlformats.org/officeDocument/2006/relationships" ref="E74" r:id="rId146"/>
    <hyperlink xmlns:r="http://schemas.openxmlformats.org/officeDocument/2006/relationships" ref="C75" r:id="rId147"/>
    <hyperlink xmlns:r="http://schemas.openxmlformats.org/officeDocument/2006/relationships" ref="E75" r:id="rId148"/>
    <hyperlink xmlns:r="http://schemas.openxmlformats.org/officeDocument/2006/relationships" ref="C76" r:id="rId149"/>
    <hyperlink xmlns:r="http://schemas.openxmlformats.org/officeDocument/2006/relationships" ref="E76" r:id="rId150"/>
    <hyperlink xmlns:r="http://schemas.openxmlformats.org/officeDocument/2006/relationships" ref="C77" r:id="rId151"/>
    <hyperlink xmlns:r="http://schemas.openxmlformats.org/officeDocument/2006/relationships" ref="E77" r:id="rId152"/>
    <hyperlink xmlns:r="http://schemas.openxmlformats.org/officeDocument/2006/relationships" ref="C78" r:id="rId153"/>
    <hyperlink xmlns:r="http://schemas.openxmlformats.org/officeDocument/2006/relationships" ref="E78" r:id="rId154"/>
    <hyperlink xmlns:r="http://schemas.openxmlformats.org/officeDocument/2006/relationships" ref="C79" r:id="rId155"/>
    <hyperlink xmlns:r="http://schemas.openxmlformats.org/officeDocument/2006/relationships" ref="E79" r:id="rId156"/>
    <hyperlink xmlns:r="http://schemas.openxmlformats.org/officeDocument/2006/relationships" ref="C80" r:id="rId157"/>
    <hyperlink xmlns:r="http://schemas.openxmlformats.org/officeDocument/2006/relationships" ref="E80" r:id="rId158"/>
    <hyperlink xmlns:r="http://schemas.openxmlformats.org/officeDocument/2006/relationships" ref="C81" r:id="rId159"/>
    <hyperlink xmlns:r="http://schemas.openxmlformats.org/officeDocument/2006/relationships" ref="E81" r:id="rId160"/>
    <hyperlink xmlns:r="http://schemas.openxmlformats.org/officeDocument/2006/relationships" ref="C82" r:id="rId161"/>
    <hyperlink xmlns:r="http://schemas.openxmlformats.org/officeDocument/2006/relationships" ref="E82" r:id="rId162"/>
    <hyperlink xmlns:r="http://schemas.openxmlformats.org/officeDocument/2006/relationships" ref="C83" r:id="rId163"/>
    <hyperlink xmlns:r="http://schemas.openxmlformats.org/officeDocument/2006/relationships" ref="E83" r:id="rId164"/>
    <hyperlink xmlns:r="http://schemas.openxmlformats.org/officeDocument/2006/relationships" ref="C84" r:id="rId165"/>
    <hyperlink xmlns:r="http://schemas.openxmlformats.org/officeDocument/2006/relationships" ref="E84" r:id="rId166"/>
    <hyperlink xmlns:r="http://schemas.openxmlformats.org/officeDocument/2006/relationships" ref="C85" r:id="rId167"/>
    <hyperlink xmlns:r="http://schemas.openxmlformats.org/officeDocument/2006/relationships" ref="E85" r:id="rId168"/>
    <hyperlink xmlns:r="http://schemas.openxmlformats.org/officeDocument/2006/relationships" ref="C86" r:id="rId169"/>
    <hyperlink xmlns:r="http://schemas.openxmlformats.org/officeDocument/2006/relationships" ref="E86" r:id="rId170"/>
    <hyperlink xmlns:r="http://schemas.openxmlformats.org/officeDocument/2006/relationships" ref="C87" r:id="rId171"/>
    <hyperlink xmlns:r="http://schemas.openxmlformats.org/officeDocument/2006/relationships" ref="E87" r:id="rId172"/>
    <hyperlink xmlns:r="http://schemas.openxmlformats.org/officeDocument/2006/relationships" ref="C88" r:id="rId173"/>
    <hyperlink xmlns:r="http://schemas.openxmlformats.org/officeDocument/2006/relationships" ref="E88" r:id="rId174"/>
    <hyperlink xmlns:r="http://schemas.openxmlformats.org/officeDocument/2006/relationships" ref="C89" r:id="rId175"/>
    <hyperlink xmlns:r="http://schemas.openxmlformats.org/officeDocument/2006/relationships" ref="E89" r:id="rId176"/>
    <hyperlink xmlns:r="http://schemas.openxmlformats.org/officeDocument/2006/relationships" ref="C90" r:id="rId177"/>
    <hyperlink xmlns:r="http://schemas.openxmlformats.org/officeDocument/2006/relationships" ref="E90" r:id="rId178"/>
    <hyperlink xmlns:r="http://schemas.openxmlformats.org/officeDocument/2006/relationships" ref="C91" r:id="rId179"/>
    <hyperlink xmlns:r="http://schemas.openxmlformats.org/officeDocument/2006/relationships" ref="E91" r:id="rId180"/>
    <hyperlink xmlns:r="http://schemas.openxmlformats.org/officeDocument/2006/relationships" ref="C92" r:id="rId181"/>
    <hyperlink xmlns:r="http://schemas.openxmlformats.org/officeDocument/2006/relationships" ref="E92" r:id="rId182"/>
    <hyperlink xmlns:r="http://schemas.openxmlformats.org/officeDocument/2006/relationships" ref="C93" r:id="rId183"/>
    <hyperlink xmlns:r="http://schemas.openxmlformats.org/officeDocument/2006/relationships" ref="E93" r:id="rId184"/>
    <hyperlink xmlns:r="http://schemas.openxmlformats.org/officeDocument/2006/relationships" ref="C94" r:id="rId185"/>
    <hyperlink xmlns:r="http://schemas.openxmlformats.org/officeDocument/2006/relationships" ref="E94" r:id="rId186"/>
    <hyperlink xmlns:r="http://schemas.openxmlformats.org/officeDocument/2006/relationships" ref="C95" r:id="rId187"/>
    <hyperlink xmlns:r="http://schemas.openxmlformats.org/officeDocument/2006/relationships" ref="E95" r:id="rId188"/>
    <hyperlink xmlns:r="http://schemas.openxmlformats.org/officeDocument/2006/relationships" ref="C96" r:id="rId189"/>
    <hyperlink xmlns:r="http://schemas.openxmlformats.org/officeDocument/2006/relationships" ref="E96" r:id="rId190"/>
    <hyperlink xmlns:r="http://schemas.openxmlformats.org/officeDocument/2006/relationships" ref="C97" r:id="rId191"/>
    <hyperlink xmlns:r="http://schemas.openxmlformats.org/officeDocument/2006/relationships" ref="E97" r:id="rId192"/>
    <hyperlink xmlns:r="http://schemas.openxmlformats.org/officeDocument/2006/relationships" ref="C98" r:id="rId193"/>
    <hyperlink xmlns:r="http://schemas.openxmlformats.org/officeDocument/2006/relationships" ref="E98" r:id="rId194"/>
    <hyperlink xmlns:r="http://schemas.openxmlformats.org/officeDocument/2006/relationships" ref="C99" r:id="rId195"/>
    <hyperlink xmlns:r="http://schemas.openxmlformats.org/officeDocument/2006/relationships" ref="E99" r:id="rId196"/>
    <hyperlink xmlns:r="http://schemas.openxmlformats.org/officeDocument/2006/relationships" ref="C100" r:id="rId197"/>
    <hyperlink xmlns:r="http://schemas.openxmlformats.org/officeDocument/2006/relationships" ref="E100" r:id="rId198"/>
    <hyperlink xmlns:r="http://schemas.openxmlformats.org/officeDocument/2006/relationships" ref="C101" r:id="rId199"/>
    <hyperlink xmlns:r="http://schemas.openxmlformats.org/officeDocument/2006/relationships" ref="E101" r:id="rId200"/>
    <hyperlink xmlns:r="http://schemas.openxmlformats.org/officeDocument/2006/relationships" ref="C102" r:id="rId201"/>
    <hyperlink xmlns:r="http://schemas.openxmlformats.org/officeDocument/2006/relationships" ref="E102" r:id="rId202"/>
    <hyperlink xmlns:r="http://schemas.openxmlformats.org/officeDocument/2006/relationships" ref="C103" r:id="rId203"/>
    <hyperlink xmlns:r="http://schemas.openxmlformats.org/officeDocument/2006/relationships" ref="E103" r:id="rId204"/>
    <hyperlink xmlns:r="http://schemas.openxmlformats.org/officeDocument/2006/relationships" ref="C104" r:id="rId205"/>
    <hyperlink xmlns:r="http://schemas.openxmlformats.org/officeDocument/2006/relationships" ref="E104" r:id="rId206"/>
    <hyperlink xmlns:r="http://schemas.openxmlformats.org/officeDocument/2006/relationships" ref="C105" r:id="rId207"/>
    <hyperlink xmlns:r="http://schemas.openxmlformats.org/officeDocument/2006/relationships" ref="E105" r:id="rId208"/>
    <hyperlink xmlns:r="http://schemas.openxmlformats.org/officeDocument/2006/relationships" ref="C106" r:id="rId209"/>
    <hyperlink xmlns:r="http://schemas.openxmlformats.org/officeDocument/2006/relationships" ref="E106" r:id="rId210"/>
    <hyperlink xmlns:r="http://schemas.openxmlformats.org/officeDocument/2006/relationships" ref="C107" r:id="rId211"/>
    <hyperlink xmlns:r="http://schemas.openxmlformats.org/officeDocument/2006/relationships" ref="E107" r:id="rId212"/>
    <hyperlink xmlns:r="http://schemas.openxmlformats.org/officeDocument/2006/relationships" ref="C108" r:id="rId213"/>
    <hyperlink xmlns:r="http://schemas.openxmlformats.org/officeDocument/2006/relationships" ref="E108" r:id="rId214"/>
    <hyperlink xmlns:r="http://schemas.openxmlformats.org/officeDocument/2006/relationships" ref="C109" r:id="rId215"/>
    <hyperlink xmlns:r="http://schemas.openxmlformats.org/officeDocument/2006/relationships" ref="E109" r:id="rId216"/>
    <hyperlink xmlns:r="http://schemas.openxmlformats.org/officeDocument/2006/relationships" ref="C110" r:id="rId217"/>
    <hyperlink xmlns:r="http://schemas.openxmlformats.org/officeDocument/2006/relationships" ref="E110" r:id="rId218"/>
    <hyperlink xmlns:r="http://schemas.openxmlformats.org/officeDocument/2006/relationships" ref="C111" r:id="rId219"/>
    <hyperlink xmlns:r="http://schemas.openxmlformats.org/officeDocument/2006/relationships" ref="E111" r:id="rId220"/>
    <hyperlink xmlns:r="http://schemas.openxmlformats.org/officeDocument/2006/relationships" ref="C112" r:id="rId221"/>
    <hyperlink xmlns:r="http://schemas.openxmlformats.org/officeDocument/2006/relationships" ref="E112" r:id="rId222"/>
    <hyperlink xmlns:r="http://schemas.openxmlformats.org/officeDocument/2006/relationships" ref="C113" r:id="rId223"/>
    <hyperlink xmlns:r="http://schemas.openxmlformats.org/officeDocument/2006/relationships" ref="E113" r:id="rId224"/>
    <hyperlink xmlns:r="http://schemas.openxmlformats.org/officeDocument/2006/relationships" ref="C114" r:id="rId225"/>
    <hyperlink xmlns:r="http://schemas.openxmlformats.org/officeDocument/2006/relationships" ref="E114" r:id="rId226"/>
    <hyperlink xmlns:r="http://schemas.openxmlformats.org/officeDocument/2006/relationships" ref="C115" r:id="rId227"/>
    <hyperlink xmlns:r="http://schemas.openxmlformats.org/officeDocument/2006/relationships" ref="E115" r:id="rId228"/>
    <hyperlink xmlns:r="http://schemas.openxmlformats.org/officeDocument/2006/relationships" ref="C116" r:id="rId229"/>
    <hyperlink xmlns:r="http://schemas.openxmlformats.org/officeDocument/2006/relationships" ref="E116" r:id="rId230"/>
    <hyperlink xmlns:r="http://schemas.openxmlformats.org/officeDocument/2006/relationships" ref="C117" r:id="rId231"/>
    <hyperlink xmlns:r="http://schemas.openxmlformats.org/officeDocument/2006/relationships" ref="E117" r:id="rId232"/>
    <hyperlink xmlns:r="http://schemas.openxmlformats.org/officeDocument/2006/relationships" ref="C118" r:id="rId233"/>
    <hyperlink xmlns:r="http://schemas.openxmlformats.org/officeDocument/2006/relationships" ref="E118" r:id="rId234"/>
    <hyperlink xmlns:r="http://schemas.openxmlformats.org/officeDocument/2006/relationships" ref="C119" r:id="rId235"/>
    <hyperlink xmlns:r="http://schemas.openxmlformats.org/officeDocument/2006/relationships" ref="E119" r:id="rId236"/>
    <hyperlink xmlns:r="http://schemas.openxmlformats.org/officeDocument/2006/relationships" ref="C120" r:id="rId237"/>
    <hyperlink xmlns:r="http://schemas.openxmlformats.org/officeDocument/2006/relationships" ref="E120" r:id="rId238"/>
    <hyperlink xmlns:r="http://schemas.openxmlformats.org/officeDocument/2006/relationships" ref="C121" r:id="rId239"/>
    <hyperlink xmlns:r="http://schemas.openxmlformats.org/officeDocument/2006/relationships" ref="E121" r:id="rId240"/>
    <hyperlink xmlns:r="http://schemas.openxmlformats.org/officeDocument/2006/relationships" ref="C122" r:id="rId241"/>
    <hyperlink xmlns:r="http://schemas.openxmlformats.org/officeDocument/2006/relationships" ref="E122" r:id="rId242"/>
    <hyperlink xmlns:r="http://schemas.openxmlformats.org/officeDocument/2006/relationships" ref="C123" r:id="rId243"/>
    <hyperlink xmlns:r="http://schemas.openxmlformats.org/officeDocument/2006/relationships" ref="E123" r:id="rId244"/>
    <hyperlink xmlns:r="http://schemas.openxmlformats.org/officeDocument/2006/relationships" ref="C124" r:id="rId245"/>
    <hyperlink xmlns:r="http://schemas.openxmlformats.org/officeDocument/2006/relationships" ref="E124" r:id="rId246"/>
    <hyperlink xmlns:r="http://schemas.openxmlformats.org/officeDocument/2006/relationships" ref="C125" r:id="rId247"/>
    <hyperlink xmlns:r="http://schemas.openxmlformats.org/officeDocument/2006/relationships" ref="E125" r:id="rId248"/>
    <hyperlink xmlns:r="http://schemas.openxmlformats.org/officeDocument/2006/relationships" ref="C126" r:id="rId249"/>
    <hyperlink xmlns:r="http://schemas.openxmlformats.org/officeDocument/2006/relationships" ref="E126" r:id="rId250"/>
    <hyperlink xmlns:r="http://schemas.openxmlformats.org/officeDocument/2006/relationships" ref="C127" r:id="rId251"/>
    <hyperlink xmlns:r="http://schemas.openxmlformats.org/officeDocument/2006/relationships" ref="E127" r:id="rId252"/>
    <hyperlink xmlns:r="http://schemas.openxmlformats.org/officeDocument/2006/relationships" ref="C128" r:id="rId253"/>
    <hyperlink xmlns:r="http://schemas.openxmlformats.org/officeDocument/2006/relationships" ref="E128" r:id="rId254"/>
    <hyperlink xmlns:r="http://schemas.openxmlformats.org/officeDocument/2006/relationships" ref="C129" r:id="rId255"/>
    <hyperlink xmlns:r="http://schemas.openxmlformats.org/officeDocument/2006/relationships" ref="E129" r:id="rId256"/>
    <hyperlink xmlns:r="http://schemas.openxmlformats.org/officeDocument/2006/relationships" ref="C130" r:id="rId257"/>
    <hyperlink xmlns:r="http://schemas.openxmlformats.org/officeDocument/2006/relationships" ref="E130" r:id="rId258"/>
    <hyperlink xmlns:r="http://schemas.openxmlformats.org/officeDocument/2006/relationships" ref="C131" r:id="rId259"/>
    <hyperlink xmlns:r="http://schemas.openxmlformats.org/officeDocument/2006/relationships" ref="E131" r:id="rId260"/>
    <hyperlink xmlns:r="http://schemas.openxmlformats.org/officeDocument/2006/relationships" ref="C132" r:id="rId261"/>
    <hyperlink xmlns:r="http://schemas.openxmlformats.org/officeDocument/2006/relationships" ref="E132" r:id="rId262"/>
    <hyperlink xmlns:r="http://schemas.openxmlformats.org/officeDocument/2006/relationships" ref="C133" r:id="rId263"/>
    <hyperlink xmlns:r="http://schemas.openxmlformats.org/officeDocument/2006/relationships" ref="E133" r:id="rId264"/>
    <hyperlink xmlns:r="http://schemas.openxmlformats.org/officeDocument/2006/relationships" ref="C134" r:id="rId265"/>
    <hyperlink xmlns:r="http://schemas.openxmlformats.org/officeDocument/2006/relationships" ref="E134" r:id="rId266"/>
    <hyperlink xmlns:r="http://schemas.openxmlformats.org/officeDocument/2006/relationships" ref="C135" r:id="rId267"/>
    <hyperlink xmlns:r="http://schemas.openxmlformats.org/officeDocument/2006/relationships" ref="E135" r:id="rId268"/>
    <hyperlink xmlns:r="http://schemas.openxmlformats.org/officeDocument/2006/relationships" ref="C136" r:id="rId269"/>
    <hyperlink xmlns:r="http://schemas.openxmlformats.org/officeDocument/2006/relationships" ref="E136" r:id="rId270"/>
    <hyperlink xmlns:r="http://schemas.openxmlformats.org/officeDocument/2006/relationships" ref="C137" r:id="rId271"/>
    <hyperlink xmlns:r="http://schemas.openxmlformats.org/officeDocument/2006/relationships" ref="E137" r:id="rId272"/>
    <hyperlink xmlns:r="http://schemas.openxmlformats.org/officeDocument/2006/relationships" ref="C138" r:id="rId273"/>
    <hyperlink xmlns:r="http://schemas.openxmlformats.org/officeDocument/2006/relationships" ref="E138" r:id="rId274"/>
    <hyperlink xmlns:r="http://schemas.openxmlformats.org/officeDocument/2006/relationships" ref="C139" r:id="rId275"/>
    <hyperlink xmlns:r="http://schemas.openxmlformats.org/officeDocument/2006/relationships" ref="E139" r:id="rId276"/>
    <hyperlink xmlns:r="http://schemas.openxmlformats.org/officeDocument/2006/relationships" ref="C140" r:id="rId277"/>
    <hyperlink xmlns:r="http://schemas.openxmlformats.org/officeDocument/2006/relationships" ref="E140" r:id="rId278"/>
    <hyperlink xmlns:r="http://schemas.openxmlformats.org/officeDocument/2006/relationships" ref="C141" r:id="rId279"/>
    <hyperlink xmlns:r="http://schemas.openxmlformats.org/officeDocument/2006/relationships" ref="E141" r:id="rId280"/>
    <hyperlink xmlns:r="http://schemas.openxmlformats.org/officeDocument/2006/relationships" ref="C142" r:id="rId281"/>
    <hyperlink xmlns:r="http://schemas.openxmlformats.org/officeDocument/2006/relationships" ref="E142" r:id="rId282"/>
    <hyperlink xmlns:r="http://schemas.openxmlformats.org/officeDocument/2006/relationships" ref="C143" r:id="rId283"/>
    <hyperlink xmlns:r="http://schemas.openxmlformats.org/officeDocument/2006/relationships" ref="E143" r:id="rId284"/>
    <hyperlink xmlns:r="http://schemas.openxmlformats.org/officeDocument/2006/relationships" ref="C144" r:id="rId285"/>
    <hyperlink xmlns:r="http://schemas.openxmlformats.org/officeDocument/2006/relationships" ref="E144" r:id="rId286"/>
    <hyperlink xmlns:r="http://schemas.openxmlformats.org/officeDocument/2006/relationships" ref="C145" r:id="rId287"/>
    <hyperlink xmlns:r="http://schemas.openxmlformats.org/officeDocument/2006/relationships" ref="E145" r:id="rId288"/>
    <hyperlink xmlns:r="http://schemas.openxmlformats.org/officeDocument/2006/relationships" ref="C146" r:id="rId289"/>
    <hyperlink xmlns:r="http://schemas.openxmlformats.org/officeDocument/2006/relationships" ref="E146" r:id="rId290"/>
    <hyperlink xmlns:r="http://schemas.openxmlformats.org/officeDocument/2006/relationships" ref="C147" r:id="rId291"/>
    <hyperlink xmlns:r="http://schemas.openxmlformats.org/officeDocument/2006/relationships" ref="E147" r:id="rId292"/>
    <hyperlink xmlns:r="http://schemas.openxmlformats.org/officeDocument/2006/relationships" ref="C148" r:id="rId293"/>
    <hyperlink xmlns:r="http://schemas.openxmlformats.org/officeDocument/2006/relationships" ref="E148" r:id="rId294"/>
    <hyperlink xmlns:r="http://schemas.openxmlformats.org/officeDocument/2006/relationships" ref="C149" r:id="rId295"/>
    <hyperlink xmlns:r="http://schemas.openxmlformats.org/officeDocument/2006/relationships" ref="E149" r:id="rId296"/>
    <hyperlink xmlns:r="http://schemas.openxmlformats.org/officeDocument/2006/relationships" ref="C150" r:id="rId297"/>
    <hyperlink xmlns:r="http://schemas.openxmlformats.org/officeDocument/2006/relationships" ref="E150" r:id="rId298"/>
    <hyperlink xmlns:r="http://schemas.openxmlformats.org/officeDocument/2006/relationships" ref="C151" r:id="rId299"/>
    <hyperlink xmlns:r="http://schemas.openxmlformats.org/officeDocument/2006/relationships" ref="E151" r:id="rId300"/>
    <hyperlink xmlns:r="http://schemas.openxmlformats.org/officeDocument/2006/relationships" ref="C152" r:id="rId301"/>
    <hyperlink xmlns:r="http://schemas.openxmlformats.org/officeDocument/2006/relationships" ref="E152" r:id="rId302"/>
    <hyperlink xmlns:r="http://schemas.openxmlformats.org/officeDocument/2006/relationships" ref="C153" r:id="rId303"/>
    <hyperlink xmlns:r="http://schemas.openxmlformats.org/officeDocument/2006/relationships" ref="E153" r:id="rId304"/>
    <hyperlink xmlns:r="http://schemas.openxmlformats.org/officeDocument/2006/relationships" ref="C154" r:id="rId305"/>
    <hyperlink xmlns:r="http://schemas.openxmlformats.org/officeDocument/2006/relationships" ref="E154" r:id="rId306"/>
    <hyperlink xmlns:r="http://schemas.openxmlformats.org/officeDocument/2006/relationships" ref="C155" r:id="rId307"/>
    <hyperlink xmlns:r="http://schemas.openxmlformats.org/officeDocument/2006/relationships" ref="E155" r:id="rId308"/>
    <hyperlink xmlns:r="http://schemas.openxmlformats.org/officeDocument/2006/relationships" ref="C156" r:id="rId309"/>
    <hyperlink xmlns:r="http://schemas.openxmlformats.org/officeDocument/2006/relationships" ref="E156" r:id="rId310"/>
    <hyperlink xmlns:r="http://schemas.openxmlformats.org/officeDocument/2006/relationships" ref="C157" r:id="rId311"/>
    <hyperlink xmlns:r="http://schemas.openxmlformats.org/officeDocument/2006/relationships" ref="E157" r:id="rId312"/>
    <hyperlink xmlns:r="http://schemas.openxmlformats.org/officeDocument/2006/relationships" ref="C158" r:id="rId313"/>
    <hyperlink xmlns:r="http://schemas.openxmlformats.org/officeDocument/2006/relationships" ref="E158" r:id="rId314"/>
    <hyperlink xmlns:r="http://schemas.openxmlformats.org/officeDocument/2006/relationships" ref="C159" r:id="rId315"/>
    <hyperlink xmlns:r="http://schemas.openxmlformats.org/officeDocument/2006/relationships" ref="E159" r:id="rId316"/>
    <hyperlink xmlns:r="http://schemas.openxmlformats.org/officeDocument/2006/relationships" ref="C160" r:id="rId317"/>
    <hyperlink xmlns:r="http://schemas.openxmlformats.org/officeDocument/2006/relationships" ref="E160" r:id="rId318"/>
    <hyperlink xmlns:r="http://schemas.openxmlformats.org/officeDocument/2006/relationships" ref="C161" r:id="rId319"/>
    <hyperlink xmlns:r="http://schemas.openxmlformats.org/officeDocument/2006/relationships" ref="E161" r:id="rId320"/>
    <hyperlink xmlns:r="http://schemas.openxmlformats.org/officeDocument/2006/relationships" ref="C162" r:id="rId321"/>
    <hyperlink xmlns:r="http://schemas.openxmlformats.org/officeDocument/2006/relationships" ref="E162" r:id="rId322"/>
    <hyperlink xmlns:r="http://schemas.openxmlformats.org/officeDocument/2006/relationships" ref="C163" r:id="rId323"/>
    <hyperlink xmlns:r="http://schemas.openxmlformats.org/officeDocument/2006/relationships" ref="E163" r:id="rId324"/>
    <hyperlink xmlns:r="http://schemas.openxmlformats.org/officeDocument/2006/relationships" ref="C164" r:id="rId325"/>
    <hyperlink xmlns:r="http://schemas.openxmlformats.org/officeDocument/2006/relationships" ref="E164" r:id="rId326"/>
    <hyperlink xmlns:r="http://schemas.openxmlformats.org/officeDocument/2006/relationships" ref="C165" r:id="rId327"/>
    <hyperlink xmlns:r="http://schemas.openxmlformats.org/officeDocument/2006/relationships" ref="E165" r:id="rId328"/>
    <hyperlink xmlns:r="http://schemas.openxmlformats.org/officeDocument/2006/relationships" ref="C166" r:id="rId329"/>
    <hyperlink xmlns:r="http://schemas.openxmlformats.org/officeDocument/2006/relationships" ref="E166" r:id="rId330"/>
    <hyperlink xmlns:r="http://schemas.openxmlformats.org/officeDocument/2006/relationships" ref="C167" r:id="rId331"/>
    <hyperlink xmlns:r="http://schemas.openxmlformats.org/officeDocument/2006/relationships" ref="E167" r:id="rId332"/>
    <hyperlink xmlns:r="http://schemas.openxmlformats.org/officeDocument/2006/relationships" ref="C168" r:id="rId333"/>
    <hyperlink xmlns:r="http://schemas.openxmlformats.org/officeDocument/2006/relationships" ref="E168" r:id="rId334"/>
    <hyperlink xmlns:r="http://schemas.openxmlformats.org/officeDocument/2006/relationships" ref="C169" r:id="rId335"/>
    <hyperlink xmlns:r="http://schemas.openxmlformats.org/officeDocument/2006/relationships" ref="E169" r:id="rId336"/>
    <hyperlink xmlns:r="http://schemas.openxmlformats.org/officeDocument/2006/relationships" ref="C170" r:id="rId337"/>
    <hyperlink xmlns:r="http://schemas.openxmlformats.org/officeDocument/2006/relationships" ref="E170" r:id="rId338"/>
    <hyperlink xmlns:r="http://schemas.openxmlformats.org/officeDocument/2006/relationships" ref="C171" r:id="rId339"/>
    <hyperlink xmlns:r="http://schemas.openxmlformats.org/officeDocument/2006/relationships" ref="E171" r:id="rId340"/>
    <hyperlink xmlns:r="http://schemas.openxmlformats.org/officeDocument/2006/relationships" ref="C172" r:id="rId341"/>
    <hyperlink xmlns:r="http://schemas.openxmlformats.org/officeDocument/2006/relationships" ref="E172" r:id="rId342"/>
    <hyperlink xmlns:r="http://schemas.openxmlformats.org/officeDocument/2006/relationships" ref="C173" r:id="rId343"/>
    <hyperlink xmlns:r="http://schemas.openxmlformats.org/officeDocument/2006/relationships" ref="E173" r:id="rId344"/>
    <hyperlink xmlns:r="http://schemas.openxmlformats.org/officeDocument/2006/relationships" ref="C174" r:id="rId345"/>
    <hyperlink xmlns:r="http://schemas.openxmlformats.org/officeDocument/2006/relationships" ref="E174" r:id="rId346"/>
    <hyperlink xmlns:r="http://schemas.openxmlformats.org/officeDocument/2006/relationships" ref="C175" r:id="rId347"/>
    <hyperlink xmlns:r="http://schemas.openxmlformats.org/officeDocument/2006/relationships" ref="E175" r:id="rId348"/>
    <hyperlink xmlns:r="http://schemas.openxmlformats.org/officeDocument/2006/relationships" ref="C176" r:id="rId349"/>
    <hyperlink xmlns:r="http://schemas.openxmlformats.org/officeDocument/2006/relationships" ref="E176" r:id="rId350"/>
    <hyperlink xmlns:r="http://schemas.openxmlformats.org/officeDocument/2006/relationships" ref="C177" r:id="rId351"/>
    <hyperlink xmlns:r="http://schemas.openxmlformats.org/officeDocument/2006/relationships" ref="E177" r:id="rId352"/>
    <hyperlink xmlns:r="http://schemas.openxmlformats.org/officeDocument/2006/relationships" ref="C178" r:id="rId353"/>
    <hyperlink xmlns:r="http://schemas.openxmlformats.org/officeDocument/2006/relationships" ref="E178" r:id="rId354"/>
    <hyperlink xmlns:r="http://schemas.openxmlformats.org/officeDocument/2006/relationships" ref="C179" r:id="rId355"/>
    <hyperlink xmlns:r="http://schemas.openxmlformats.org/officeDocument/2006/relationships" ref="E179" r:id="rId356"/>
    <hyperlink xmlns:r="http://schemas.openxmlformats.org/officeDocument/2006/relationships" ref="C180" r:id="rId357"/>
    <hyperlink xmlns:r="http://schemas.openxmlformats.org/officeDocument/2006/relationships" ref="E180" r:id="rId358"/>
    <hyperlink xmlns:r="http://schemas.openxmlformats.org/officeDocument/2006/relationships" ref="C181" r:id="rId359"/>
    <hyperlink xmlns:r="http://schemas.openxmlformats.org/officeDocument/2006/relationships" ref="E181" r:id="rId360"/>
    <hyperlink xmlns:r="http://schemas.openxmlformats.org/officeDocument/2006/relationships" ref="C182" r:id="rId361"/>
    <hyperlink xmlns:r="http://schemas.openxmlformats.org/officeDocument/2006/relationships" ref="E182" r:id="rId362"/>
    <hyperlink xmlns:r="http://schemas.openxmlformats.org/officeDocument/2006/relationships" ref="C183" r:id="rId363"/>
    <hyperlink xmlns:r="http://schemas.openxmlformats.org/officeDocument/2006/relationships" ref="E183" r:id="rId364"/>
    <hyperlink xmlns:r="http://schemas.openxmlformats.org/officeDocument/2006/relationships" ref="C184" r:id="rId365"/>
    <hyperlink xmlns:r="http://schemas.openxmlformats.org/officeDocument/2006/relationships" ref="E184" r:id="rId366"/>
    <hyperlink xmlns:r="http://schemas.openxmlformats.org/officeDocument/2006/relationships" ref="C185" r:id="rId367"/>
    <hyperlink xmlns:r="http://schemas.openxmlformats.org/officeDocument/2006/relationships" ref="E185" r:id="rId368"/>
    <hyperlink xmlns:r="http://schemas.openxmlformats.org/officeDocument/2006/relationships" ref="C186" r:id="rId369"/>
    <hyperlink xmlns:r="http://schemas.openxmlformats.org/officeDocument/2006/relationships" ref="E186" r:id="rId370"/>
    <hyperlink xmlns:r="http://schemas.openxmlformats.org/officeDocument/2006/relationships" ref="C187" r:id="rId371"/>
    <hyperlink xmlns:r="http://schemas.openxmlformats.org/officeDocument/2006/relationships" ref="E187" r:id="rId372"/>
    <hyperlink xmlns:r="http://schemas.openxmlformats.org/officeDocument/2006/relationships" ref="C188" r:id="rId373"/>
    <hyperlink xmlns:r="http://schemas.openxmlformats.org/officeDocument/2006/relationships" ref="E188" r:id="rId374"/>
    <hyperlink xmlns:r="http://schemas.openxmlformats.org/officeDocument/2006/relationships" ref="C189" r:id="rId375"/>
    <hyperlink xmlns:r="http://schemas.openxmlformats.org/officeDocument/2006/relationships" ref="E189" r:id="rId376"/>
    <hyperlink xmlns:r="http://schemas.openxmlformats.org/officeDocument/2006/relationships" ref="C190" r:id="rId377"/>
    <hyperlink xmlns:r="http://schemas.openxmlformats.org/officeDocument/2006/relationships" ref="E190" r:id="rId378"/>
    <hyperlink xmlns:r="http://schemas.openxmlformats.org/officeDocument/2006/relationships" ref="C191" r:id="rId379"/>
    <hyperlink xmlns:r="http://schemas.openxmlformats.org/officeDocument/2006/relationships" ref="E191" r:id="rId380"/>
    <hyperlink xmlns:r="http://schemas.openxmlformats.org/officeDocument/2006/relationships" ref="C192" r:id="rId381"/>
    <hyperlink xmlns:r="http://schemas.openxmlformats.org/officeDocument/2006/relationships" ref="E192" r:id="rId382"/>
    <hyperlink xmlns:r="http://schemas.openxmlformats.org/officeDocument/2006/relationships" ref="C193" r:id="rId383"/>
    <hyperlink xmlns:r="http://schemas.openxmlformats.org/officeDocument/2006/relationships" ref="E193" r:id="rId384"/>
    <hyperlink xmlns:r="http://schemas.openxmlformats.org/officeDocument/2006/relationships" ref="C194" r:id="rId385"/>
    <hyperlink xmlns:r="http://schemas.openxmlformats.org/officeDocument/2006/relationships" ref="E194" r:id="rId386"/>
    <hyperlink xmlns:r="http://schemas.openxmlformats.org/officeDocument/2006/relationships" ref="C195" r:id="rId387"/>
    <hyperlink xmlns:r="http://schemas.openxmlformats.org/officeDocument/2006/relationships" ref="E195" r:id="rId388"/>
    <hyperlink xmlns:r="http://schemas.openxmlformats.org/officeDocument/2006/relationships" ref="C196" r:id="rId389"/>
    <hyperlink xmlns:r="http://schemas.openxmlformats.org/officeDocument/2006/relationships" ref="E196" r:id="rId390"/>
    <hyperlink xmlns:r="http://schemas.openxmlformats.org/officeDocument/2006/relationships" ref="C197" r:id="rId391"/>
    <hyperlink xmlns:r="http://schemas.openxmlformats.org/officeDocument/2006/relationships" ref="E197" r:id="rId392"/>
    <hyperlink xmlns:r="http://schemas.openxmlformats.org/officeDocument/2006/relationships" ref="C198" r:id="rId393"/>
    <hyperlink xmlns:r="http://schemas.openxmlformats.org/officeDocument/2006/relationships" ref="E198" r:id="rId394"/>
    <hyperlink xmlns:r="http://schemas.openxmlformats.org/officeDocument/2006/relationships" ref="C199" r:id="rId395"/>
    <hyperlink xmlns:r="http://schemas.openxmlformats.org/officeDocument/2006/relationships" ref="E199" r:id="rId396"/>
    <hyperlink xmlns:r="http://schemas.openxmlformats.org/officeDocument/2006/relationships" ref="C200" r:id="rId397"/>
    <hyperlink xmlns:r="http://schemas.openxmlformats.org/officeDocument/2006/relationships" ref="E200" r:id="rId398"/>
    <hyperlink xmlns:r="http://schemas.openxmlformats.org/officeDocument/2006/relationships" ref="C201" r:id="rId399"/>
    <hyperlink xmlns:r="http://schemas.openxmlformats.org/officeDocument/2006/relationships" ref="E201" r:id="rId400"/>
    <hyperlink xmlns:r="http://schemas.openxmlformats.org/officeDocument/2006/relationships" ref="C202" r:id="rId401"/>
    <hyperlink xmlns:r="http://schemas.openxmlformats.org/officeDocument/2006/relationships" ref="E202" r:id="rId402"/>
    <hyperlink xmlns:r="http://schemas.openxmlformats.org/officeDocument/2006/relationships" ref="C203" r:id="rId403"/>
    <hyperlink xmlns:r="http://schemas.openxmlformats.org/officeDocument/2006/relationships" ref="E203" r:id="rId404"/>
    <hyperlink xmlns:r="http://schemas.openxmlformats.org/officeDocument/2006/relationships" ref="C204" r:id="rId405"/>
    <hyperlink xmlns:r="http://schemas.openxmlformats.org/officeDocument/2006/relationships" ref="E204" r:id="rId406"/>
    <hyperlink xmlns:r="http://schemas.openxmlformats.org/officeDocument/2006/relationships" ref="C205" r:id="rId407"/>
    <hyperlink xmlns:r="http://schemas.openxmlformats.org/officeDocument/2006/relationships" ref="E205" r:id="rId408"/>
    <hyperlink xmlns:r="http://schemas.openxmlformats.org/officeDocument/2006/relationships" ref="C206" r:id="rId409"/>
    <hyperlink xmlns:r="http://schemas.openxmlformats.org/officeDocument/2006/relationships" ref="E206" r:id="rId410"/>
    <hyperlink xmlns:r="http://schemas.openxmlformats.org/officeDocument/2006/relationships" ref="C207" r:id="rId411"/>
    <hyperlink xmlns:r="http://schemas.openxmlformats.org/officeDocument/2006/relationships" ref="E207" r:id="rId412"/>
    <hyperlink xmlns:r="http://schemas.openxmlformats.org/officeDocument/2006/relationships" ref="C208" r:id="rId413"/>
    <hyperlink xmlns:r="http://schemas.openxmlformats.org/officeDocument/2006/relationships" ref="E208" r:id="rId414"/>
    <hyperlink xmlns:r="http://schemas.openxmlformats.org/officeDocument/2006/relationships" ref="C209" r:id="rId415"/>
    <hyperlink xmlns:r="http://schemas.openxmlformats.org/officeDocument/2006/relationships" ref="E209" r:id="rId416"/>
    <hyperlink xmlns:r="http://schemas.openxmlformats.org/officeDocument/2006/relationships" ref="C210" r:id="rId417"/>
    <hyperlink xmlns:r="http://schemas.openxmlformats.org/officeDocument/2006/relationships" ref="E210" r:id="rId418"/>
    <hyperlink xmlns:r="http://schemas.openxmlformats.org/officeDocument/2006/relationships" ref="C211" r:id="rId419"/>
    <hyperlink xmlns:r="http://schemas.openxmlformats.org/officeDocument/2006/relationships" ref="E211" r:id="rId420"/>
    <hyperlink xmlns:r="http://schemas.openxmlformats.org/officeDocument/2006/relationships" ref="C212" r:id="rId421"/>
    <hyperlink xmlns:r="http://schemas.openxmlformats.org/officeDocument/2006/relationships" ref="E212" r:id="rId422"/>
    <hyperlink xmlns:r="http://schemas.openxmlformats.org/officeDocument/2006/relationships" ref="C213" r:id="rId423"/>
    <hyperlink xmlns:r="http://schemas.openxmlformats.org/officeDocument/2006/relationships" ref="E213" r:id="rId424"/>
    <hyperlink xmlns:r="http://schemas.openxmlformats.org/officeDocument/2006/relationships" ref="C214" r:id="rId425"/>
    <hyperlink xmlns:r="http://schemas.openxmlformats.org/officeDocument/2006/relationships" ref="E214" r:id="rId426"/>
    <hyperlink xmlns:r="http://schemas.openxmlformats.org/officeDocument/2006/relationships" ref="C215" r:id="rId427"/>
    <hyperlink xmlns:r="http://schemas.openxmlformats.org/officeDocument/2006/relationships" ref="E215" r:id="rId428"/>
    <hyperlink xmlns:r="http://schemas.openxmlformats.org/officeDocument/2006/relationships" ref="C216" r:id="rId429"/>
    <hyperlink xmlns:r="http://schemas.openxmlformats.org/officeDocument/2006/relationships" ref="E216" r:id="rId430"/>
    <hyperlink xmlns:r="http://schemas.openxmlformats.org/officeDocument/2006/relationships" ref="C217" r:id="rId431"/>
    <hyperlink xmlns:r="http://schemas.openxmlformats.org/officeDocument/2006/relationships" ref="E217" r:id="rId432"/>
    <hyperlink xmlns:r="http://schemas.openxmlformats.org/officeDocument/2006/relationships" ref="C218" r:id="rId433"/>
    <hyperlink xmlns:r="http://schemas.openxmlformats.org/officeDocument/2006/relationships" ref="E218" r:id="rId434"/>
    <hyperlink xmlns:r="http://schemas.openxmlformats.org/officeDocument/2006/relationships" ref="C219" r:id="rId435"/>
    <hyperlink xmlns:r="http://schemas.openxmlformats.org/officeDocument/2006/relationships" ref="E219" r:id="rId436"/>
    <hyperlink xmlns:r="http://schemas.openxmlformats.org/officeDocument/2006/relationships" ref="C220" r:id="rId437"/>
    <hyperlink xmlns:r="http://schemas.openxmlformats.org/officeDocument/2006/relationships" ref="E220" r:id="rId438"/>
    <hyperlink xmlns:r="http://schemas.openxmlformats.org/officeDocument/2006/relationships" ref="C221" r:id="rId439"/>
    <hyperlink xmlns:r="http://schemas.openxmlformats.org/officeDocument/2006/relationships" ref="E221" r:id="rId440"/>
    <hyperlink xmlns:r="http://schemas.openxmlformats.org/officeDocument/2006/relationships" ref="C222" r:id="rId441"/>
    <hyperlink xmlns:r="http://schemas.openxmlformats.org/officeDocument/2006/relationships" ref="E222" r:id="rId442"/>
    <hyperlink xmlns:r="http://schemas.openxmlformats.org/officeDocument/2006/relationships" ref="C223" r:id="rId443"/>
    <hyperlink xmlns:r="http://schemas.openxmlformats.org/officeDocument/2006/relationships" ref="E223" r:id="rId444"/>
    <hyperlink xmlns:r="http://schemas.openxmlformats.org/officeDocument/2006/relationships" ref="C224" r:id="rId445"/>
    <hyperlink xmlns:r="http://schemas.openxmlformats.org/officeDocument/2006/relationships" ref="E224" r:id="rId446"/>
    <hyperlink xmlns:r="http://schemas.openxmlformats.org/officeDocument/2006/relationships" ref="C225" r:id="rId447"/>
    <hyperlink xmlns:r="http://schemas.openxmlformats.org/officeDocument/2006/relationships" ref="E225" r:id="rId448"/>
    <hyperlink xmlns:r="http://schemas.openxmlformats.org/officeDocument/2006/relationships" ref="C226" r:id="rId449"/>
    <hyperlink xmlns:r="http://schemas.openxmlformats.org/officeDocument/2006/relationships" ref="E226" r:id="rId450"/>
    <hyperlink xmlns:r="http://schemas.openxmlformats.org/officeDocument/2006/relationships" ref="C227" r:id="rId451"/>
    <hyperlink xmlns:r="http://schemas.openxmlformats.org/officeDocument/2006/relationships" ref="E227" r:id="rId452"/>
    <hyperlink xmlns:r="http://schemas.openxmlformats.org/officeDocument/2006/relationships" ref="C228" r:id="rId453"/>
    <hyperlink xmlns:r="http://schemas.openxmlformats.org/officeDocument/2006/relationships" ref="E228" r:id="rId454"/>
    <hyperlink xmlns:r="http://schemas.openxmlformats.org/officeDocument/2006/relationships" ref="C229" r:id="rId455"/>
    <hyperlink xmlns:r="http://schemas.openxmlformats.org/officeDocument/2006/relationships" ref="E229" r:id="rId456"/>
    <hyperlink xmlns:r="http://schemas.openxmlformats.org/officeDocument/2006/relationships" ref="C230" r:id="rId457"/>
    <hyperlink xmlns:r="http://schemas.openxmlformats.org/officeDocument/2006/relationships" ref="E230" r:id="rId458"/>
    <hyperlink xmlns:r="http://schemas.openxmlformats.org/officeDocument/2006/relationships" ref="C231" r:id="rId459"/>
    <hyperlink xmlns:r="http://schemas.openxmlformats.org/officeDocument/2006/relationships" ref="E231" r:id="rId460"/>
    <hyperlink xmlns:r="http://schemas.openxmlformats.org/officeDocument/2006/relationships" ref="C232" r:id="rId461"/>
    <hyperlink xmlns:r="http://schemas.openxmlformats.org/officeDocument/2006/relationships" ref="E232" r:id="rId462"/>
    <hyperlink xmlns:r="http://schemas.openxmlformats.org/officeDocument/2006/relationships" ref="C233" r:id="rId463"/>
    <hyperlink xmlns:r="http://schemas.openxmlformats.org/officeDocument/2006/relationships" ref="E233" r:id="rId464"/>
    <hyperlink xmlns:r="http://schemas.openxmlformats.org/officeDocument/2006/relationships" ref="C234" r:id="rId465"/>
    <hyperlink xmlns:r="http://schemas.openxmlformats.org/officeDocument/2006/relationships" ref="E234" r:id="rId466"/>
    <hyperlink xmlns:r="http://schemas.openxmlformats.org/officeDocument/2006/relationships" ref="C235" r:id="rId467"/>
    <hyperlink xmlns:r="http://schemas.openxmlformats.org/officeDocument/2006/relationships" ref="E235" r:id="rId468"/>
    <hyperlink xmlns:r="http://schemas.openxmlformats.org/officeDocument/2006/relationships" ref="C236" r:id="rId469"/>
    <hyperlink xmlns:r="http://schemas.openxmlformats.org/officeDocument/2006/relationships" ref="E236" r:id="rId470"/>
    <hyperlink xmlns:r="http://schemas.openxmlformats.org/officeDocument/2006/relationships" ref="C237" r:id="rId471"/>
    <hyperlink xmlns:r="http://schemas.openxmlformats.org/officeDocument/2006/relationships" ref="E237" r:id="rId472"/>
    <hyperlink xmlns:r="http://schemas.openxmlformats.org/officeDocument/2006/relationships" ref="C238" r:id="rId473"/>
    <hyperlink xmlns:r="http://schemas.openxmlformats.org/officeDocument/2006/relationships" ref="E238" r:id="rId474"/>
    <hyperlink xmlns:r="http://schemas.openxmlformats.org/officeDocument/2006/relationships" ref="C239" r:id="rId475"/>
    <hyperlink xmlns:r="http://schemas.openxmlformats.org/officeDocument/2006/relationships" ref="E239" r:id="rId476"/>
    <hyperlink xmlns:r="http://schemas.openxmlformats.org/officeDocument/2006/relationships" ref="C240" r:id="rId477"/>
    <hyperlink xmlns:r="http://schemas.openxmlformats.org/officeDocument/2006/relationships" ref="E240" r:id="rId478"/>
    <hyperlink xmlns:r="http://schemas.openxmlformats.org/officeDocument/2006/relationships" ref="C241" r:id="rId479"/>
    <hyperlink xmlns:r="http://schemas.openxmlformats.org/officeDocument/2006/relationships" ref="E241" r:id="rId480"/>
    <hyperlink xmlns:r="http://schemas.openxmlformats.org/officeDocument/2006/relationships" ref="C242" r:id="rId481"/>
    <hyperlink xmlns:r="http://schemas.openxmlformats.org/officeDocument/2006/relationships" ref="E242" r:id="rId482"/>
    <hyperlink xmlns:r="http://schemas.openxmlformats.org/officeDocument/2006/relationships" ref="C243" r:id="rId483"/>
    <hyperlink xmlns:r="http://schemas.openxmlformats.org/officeDocument/2006/relationships" ref="E243" r:id="rId484"/>
    <hyperlink xmlns:r="http://schemas.openxmlformats.org/officeDocument/2006/relationships" ref="C244" r:id="rId485"/>
    <hyperlink xmlns:r="http://schemas.openxmlformats.org/officeDocument/2006/relationships" ref="E244" r:id="rId486"/>
    <hyperlink xmlns:r="http://schemas.openxmlformats.org/officeDocument/2006/relationships" ref="C245" r:id="rId487"/>
    <hyperlink xmlns:r="http://schemas.openxmlformats.org/officeDocument/2006/relationships" ref="E245" r:id="rId488"/>
    <hyperlink xmlns:r="http://schemas.openxmlformats.org/officeDocument/2006/relationships" ref="C246" r:id="rId489"/>
    <hyperlink xmlns:r="http://schemas.openxmlformats.org/officeDocument/2006/relationships" ref="E246" r:id="rId490"/>
    <hyperlink xmlns:r="http://schemas.openxmlformats.org/officeDocument/2006/relationships" ref="C247" r:id="rId491"/>
    <hyperlink xmlns:r="http://schemas.openxmlformats.org/officeDocument/2006/relationships" ref="E247" r:id="rId492"/>
    <hyperlink xmlns:r="http://schemas.openxmlformats.org/officeDocument/2006/relationships" ref="C248" r:id="rId493"/>
    <hyperlink xmlns:r="http://schemas.openxmlformats.org/officeDocument/2006/relationships" ref="E248" r:id="rId494"/>
    <hyperlink xmlns:r="http://schemas.openxmlformats.org/officeDocument/2006/relationships" ref="C249" r:id="rId495"/>
    <hyperlink xmlns:r="http://schemas.openxmlformats.org/officeDocument/2006/relationships" ref="E249" r:id="rId496"/>
    <hyperlink xmlns:r="http://schemas.openxmlformats.org/officeDocument/2006/relationships" ref="C250" r:id="rId497"/>
    <hyperlink xmlns:r="http://schemas.openxmlformats.org/officeDocument/2006/relationships" ref="E250" r:id="rId498"/>
    <hyperlink xmlns:r="http://schemas.openxmlformats.org/officeDocument/2006/relationships" ref="C251" r:id="rId499"/>
    <hyperlink xmlns:r="http://schemas.openxmlformats.org/officeDocument/2006/relationships" ref="E251" r:id="rId500"/>
    <hyperlink xmlns:r="http://schemas.openxmlformats.org/officeDocument/2006/relationships" ref="C252" r:id="rId501"/>
    <hyperlink xmlns:r="http://schemas.openxmlformats.org/officeDocument/2006/relationships" ref="E252" r:id="rId502"/>
    <hyperlink xmlns:r="http://schemas.openxmlformats.org/officeDocument/2006/relationships" ref="C253" r:id="rId503"/>
    <hyperlink xmlns:r="http://schemas.openxmlformats.org/officeDocument/2006/relationships" ref="E253" r:id="rId504"/>
    <hyperlink xmlns:r="http://schemas.openxmlformats.org/officeDocument/2006/relationships" ref="C254" r:id="rId505"/>
    <hyperlink xmlns:r="http://schemas.openxmlformats.org/officeDocument/2006/relationships" ref="E254" r:id="rId506"/>
    <hyperlink xmlns:r="http://schemas.openxmlformats.org/officeDocument/2006/relationships" ref="C255" r:id="rId507"/>
    <hyperlink xmlns:r="http://schemas.openxmlformats.org/officeDocument/2006/relationships" ref="E255" r:id="rId508"/>
    <hyperlink xmlns:r="http://schemas.openxmlformats.org/officeDocument/2006/relationships" ref="C256" r:id="rId509"/>
    <hyperlink xmlns:r="http://schemas.openxmlformats.org/officeDocument/2006/relationships" ref="E256" r:id="rId510"/>
    <hyperlink xmlns:r="http://schemas.openxmlformats.org/officeDocument/2006/relationships" ref="C257" r:id="rId511"/>
    <hyperlink xmlns:r="http://schemas.openxmlformats.org/officeDocument/2006/relationships" ref="E257" r:id="rId512"/>
    <hyperlink xmlns:r="http://schemas.openxmlformats.org/officeDocument/2006/relationships" ref="C258" r:id="rId513"/>
    <hyperlink xmlns:r="http://schemas.openxmlformats.org/officeDocument/2006/relationships" ref="E258" r:id="rId514"/>
    <hyperlink xmlns:r="http://schemas.openxmlformats.org/officeDocument/2006/relationships" ref="C259" r:id="rId515"/>
    <hyperlink xmlns:r="http://schemas.openxmlformats.org/officeDocument/2006/relationships" ref="E259" r:id="rId516"/>
    <hyperlink xmlns:r="http://schemas.openxmlformats.org/officeDocument/2006/relationships" ref="C260" r:id="rId517"/>
    <hyperlink xmlns:r="http://schemas.openxmlformats.org/officeDocument/2006/relationships" ref="E260" r:id="rId518"/>
    <hyperlink xmlns:r="http://schemas.openxmlformats.org/officeDocument/2006/relationships" ref="C261" r:id="rId519"/>
    <hyperlink xmlns:r="http://schemas.openxmlformats.org/officeDocument/2006/relationships" ref="E261" r:id="rId520"/>
    <hyperlink xmlns:r="http://schemas.openxmlformats.org/officeDocument/2006/relationships" ref="C262" r:id="rId521"/>
    <hyperlink xmlns:r="http://schemas.openxmlformats.org/officeDocument/2006/relationships" ref="E262" r:id="rId522"/>
    <hyperlink xmlns:r="http://schemas.openxmlformats.org/officeDocument/2006/relationships" ref="C263" r:id="rId523"/>
    <hyperlink xmlns:r="http://schemas.openxmlformats.org/officeDocument/2006/relationships" ref="E263" r:id="rId524"/>
    <hyperlink xmlns:r="http://schemas.openxmlformats.org/officeDocument/2006/relationships" ref="C264" r:id="rId525"/>
    <hyperlink xmlns:r="http://schemas.openxmlformats.org/officeDocument/2006/relationships" ref="E264" r:id="rId526"/>
    <hyperlink xmlns:r="http://schemas.openxmlformats.org/officeDocument/2006/relationships" ref="C265" r:id="rId527"/>
    <hyperlink xmlns:r="http://schemas.openxmlformats.org/officeDocument/2006/relationships" ref="E265" r:id="rId528"/>
    <hyperlink xmlns:r="http://schemas.openxmlformats.org/officeDocument/2006/relationships" ref="C266" r:id="rId529"/>
    <hyperlink xmlns:r="http://schemas.openxmlformats.org/officeDocument/2006/relationships" ref="E266" r:id="rId530"/>
    <hyperlink xmlns:r="http://schemas.openxmlformats.org/officeDocument/2006/relationships" ref="C267" r:id="rId531"/>
    <hyperlink xmlns:r="http://schemas.openxmlformats.org/officeDocument/2006/relationships" ref="E267" r:id="rId532"/>
    <hyperlink xmlns:r="http://schemas.openxmlformats.org/officeDocument/2006/relationships" ref="C268" r:id="rId533"/>
    <hyperlink xmlns:r="http://schemas.openxmlformats.org/officeDocument/2006/relationships" ref="E268" r:id="rId534"/>
    <hyperlink xmlns:r="http://schemas.openxmlformats.org/officeDocument/2006/relationships" ref="C269" r:id="rId535"/>
    <hyperlink xmlns:r="http://schemas.openxmlformats.org/officeDocument/2006/relationships" ref="E269" r:id="rId536"/>
    <hyperlink xmlns:r="http://schemas.openxmlformats.org/officeDocument/2006/relationships" ref="C270" r:id="rId537"/>
    <hyperlink xmlns:r="http://schemas.openxmlformats.org/officeDocument/2006/relationships" ref="E270" r:id="rId538"/>
    <hyperlink xmlns:r="http://schemas.openxmlformats.org/officeDocument/2006/relationships" ref="C271" r:id="rId539"/>
    <hyperlink xmlns:r="http://schemas.openxmlformats.org/officeDocument/2006/relationships" ref="E271" r:id="rId540"/>
    <hyperlink xmlns:r="http://schemas.openxmlformats.org/officeDocument/2006/relationships" ref="C272" r:id="rId541"/>
    <hyperlink xmlns:r="http://schemas.openxmlformats.org/officeDocument/2006/relationships" ref="E272" r:id="rId542"/>
    <hyperlink xmlns:r="http://schemas.openxmlformats.org/officeDocument/2006/relationships" ref="C273" r:id="rId543"/>
    <hyperlink xmlns:r="http://schemas.openxmlformats.org/officeDocument/2006/relationships" ref="E273" r:id="rId544"/>
    <hyperlink xmlns:r="http://schemas.openxmlformats.org/officeDocument/2006/relationships" ref="C274" r:id="rId545"/>
    <hyperlink xmlns:r="http://schemas.openxmlformats.org/officeDocument/2006/relationships" ref="E274" r:id="rId546"/>
    <hyperlink xmlns:r="http://schemas.openxmlformats.org/officeDocument/2006/relationships" ref="C275" r:id="rId547"/>
    <hyperlink xmlns:r="http://schemas.openxmlformats.org/officeDocument/2006/relationships" ref="E275" r:id="rId548"/>
    <hyperlink xmlns:r="http://schemas.openxmlformats.org/officeDocument/2006/relationships" ref="C276" r:id="rId549"/>
    <hyperlink xmlns:r="http://schemas.openxmlformats.org/officeDocument/2006/relationships" ref="E276" r:id="rId550"/>
    <hyperlink xmlns:r="http://schemas.openxmlformats.org/officeDocument/2006/relationships" ref="C277" r:id="rId551"/>
    <hyperlink xmlns:r="http://schemas.openxmlformats.org/officeDocument/2006/relationships" ref="E277" r:id="rId552"/>
    <hyperlink xmlns:r="http://schemas.openxmlformats.org/officeDocument/2006/relationships" ref="C278" r:id="rId553"/>
    <hyperlink xmlns:r="http://schemas.openxmlformats.org/officeDocument/2006/relationships" ref="E278" r:id="rId554"/>
    <hyperlink xmlns:r="http://schemas.openxmlformats.org/officeDocument/2006/relationships" ref="C279" r:id="rId555"/>
    <hyperlink xmlns:r="http://schemas.openxmlformats.org/officeDocument/2006/relationships" ref="E279" r:id="rId556"/>
    <hyperlink xmlns:r="http://schemas.openxmlformats.org/officeDocument/2006/relationships" ref="C280" r:id="rId557"/>
    <hyperlink xmlns:r="http://schemas.openxmlformats.org/officeDocument/2006/relationships" ref="E280" r:id="rId558"/>
    <hyperlink xmlns:r="http://schemas.openxmlformats.org/officeDocument/2006/relationships" ref="C281" r:id="rId559"/>
    <hyperlink xmlns:r="http://schemas.openxmlformats.org/officeDocument/2006/relationships" ref="E281" r:id="rId560"/>
    <hyperlink xmlns:r="http://schemas.openxmlformats.org/officeDocument/2006/relationships" ref="C282" r:id="rId561"/>
    <hyperlink xmlns:r="http://schemas.openxmlformats.org/officeDocument/2006/relationships" ref="E282" r:id="rId562"/>
    <hyperlink xmlns:r="http://schemas.openxmlformats.org/officeDocument/2006/relationships" ref="C283" r:id="rId563"/>
    <hyperlink xmlns:r="http://schemas.openxmlformats.org/officeDocument/2006/relationships" ref="E283" r:id="rId564"/>
    <hyperlink xmlns:r="http://schemas.openxmlformats.org/officeDocument/2006/relationships" ref="C284" r:id="rId565"/>
    <hyperlink xmlns:r="http://schemas.openxmlformats.org/officeDocument/2006/relationships" ref="E284" r:id="rId566"/>
    <hyperlink xmlns:r="http://schemas.openxmlformats.org/officeDocument/2006/relationships" ref="C285" r:id="rId567"/>
    <hyperlink xmlns:r="http://schemas.openxmlformats.org/officeDocument/2006/relationships" ref="E285" r:id="rId568"/>
    <hyperlink xmlns:r="http://schemas.openxmlformats.org/officeDocument/2006/relationships" ref="C286" r:id="rId569"/>
    <hyperlink xmlns:r="http://schemas.openxmlformats.org/officeDocument/2006/relationships" ref="E286" r:id="rId570"/>
    <hyperlink xmlns:r="http://schemas.openxmlformats.org/officeDocument/2006/relationships" ref="C287" r:id="rId571"/>
    <hyperlink xmlns:r="http://schemas.openxmlformats.org/officeDocument/2006/relationships" ref="E287" r:id="rId572"/>
    <hyperlink xmlns:r="http://schemas.openxmlformats.org/officeDocument/2006/relationships" ref="C288" r:id="rId573"/>
    <hyperlink xmlns:r="http://schemas.openxmlformats.org/officeDocument/2006/relationships" ref="E288" r:id="rId574"/>
    <hyperlink xmlns:r="http://schemas.openxmlformats.org/officeDocument/2006/relationships" ref="C289" r:id="rId575"/>
    <hyperlink xmlns:r="http://schemas.openxmlformats.org/officeDocument/2006/relationships" ref="E289" r:id="rId576"/>
    <hyperlink xmlns:r="http://schemas.openxmlformats.org/officeDocument/2006/relationships" ref="C290" r:id="rId577"/>
    <hyperlink xmlns:r="http://schemas.openxmlformats.org/officeDocument/2006/relationships" ref="E290" r:id="rId578"/>
    <hyperlink xmlns:r="http://schemas.openxmlformats.org/officeDocument/2006/relationships" ref="C291" r:id="rId579"/>
    <hyperlink xmlns:r="http://schemas.openxmlformats.org/officeDocument/2006/relationships" ref="E291" r:id="rId580"/>
    <hyperlink xmlns:r="http://schemas.openxmlformats.org/officeDocument/2006/relationships" ref="C292" r:id="rId581"/>
    <hyperlink xmlns:r="http://schemas.openxmlformats.org/officeDocument/2006/relationships" ref="E292" r:id="rId582"/>
    <hyperlink xmlns:r="http://schemas.openxmlformats.org/officeDocument/2006/relationships" ref="C293" r:id="rId583"/>
    <hyperlink xmlns:r="http://schemas.openxmlformats.org/officeDocument/2006/relationships" ref="E293" r:id="rId584"/>
    <hyperlink xmlns:r="http://schemas.openxmlformats.org/officeDocument/2006/relationships" ref="C294" r:id="rId585"/>
    <hyperlink xmlns:r="http://schemas.openxmlformats.org/officeDocument/2006/relationships" ref="E294" r:id="rId586"/>
    <hyperlink xmlns:r="http://schemas.openxmlformats.org/officeDocument/2006/relationships" ref="C295" r:id="rId587"/>
    <hyperlink xmlns:r="http://schemas.openxmlformats.org/officeDocument/2006/relationships" ref="E295" r:id="rId588"/>
    <hyperlink xmlns:r="http://schemas.openxmlformats.org/officeDocument/2006/relationships" ref="C296" r:id="rId589"/>
    <hyperlink xmlns:r="http://schemas.openxmlformats.org/officeDocument/2006/relationships" ref="E296" r:id="rId590"/>
    <hyperlink xmlns:r="http://schemas.openxmlformats.org/officeDocument/2006/relationships" ref="C297" r:id="rId591"/>
    <hyperlink xmlns:r="http://schemas.openxmlformats.org/officeDocument/2006/relationships" ref="E297" r:id="rId592"/>
    <hyperlink xmlns:r="http://schemas.openxmlformats.org/officeDocument/2006/relationships" ref="C298" r:id="rId593"/>
    <hyperlink xmlns:r="http://schemas.openxmlformats.org/officeDocument/2006/relationships" ref="E298" r:id="rId594"/>
    <hyperlink xmlns:r="http://schemas.openxmlformats.org/officeDocument/2006/relationships" ref="C299" r:id="rId595"/>
    <hyperlink xmlns:r="http://schemas.openxmlformats.org/officeDocument/2006/relationships" ref="E299" r:id="rId596"/>
    <hyperlink xmlns:r="http://schemas.openxmlformats.org/officeDocument/2006/relationships" ref="C300" r:id="rId597"/>
    <hyperlink xmlns:r="http://schemas.openxmlformats.org/officeDocument/2006/relationships" ref="E300" r:id="rId598"/>
    <hyperlink xmlns:r="http://schemas.openxmlformats.org/officeDocument/2006/relationships" ref="C301" r:id="rId599"/>
    <hyperlink xmlns:r="http://schemas.openxmlformats.org/officeDocument/2006/relationships" ref="E301" r:id="rId600"/>
    <hyperlink xmlns:r="http://schemas.openxmlformats.org/officeDocument/2006/relationships" ref="C302" r:id="rId601"/>
    <hyperlink xmlns:r="http://schemas.openxmlformats.org/officeDocument/2006/relationships" ref="E302" r:id="rId602"/>
    <hyperlink xmlns:r="http://schemas.openxmlformats.org/officeDocument/2006/relationships" ref="C303" r:id="rId603"/>
    <hyperlink xmlns:r="http://schemas.openxmlformats.org/officeDocument/2006/relationships" ref="E303" r:id="rId604"/>
    <hyperlink xmlns:r="http://schemas.openxmlformats.org/officeDocument/2006/relationships" ref="C304" r:id="rId605"/>
    <hyperlink xmlns:r="http://schemas.openxmlformats.org/officeDocument/2006/relationships" ref="E304" r:id="rId606"/>
    <hyperlink xmlns:r="http://schemas.openxmlformats.org/officeDocument/2006/relationships" ref="C305" r:id="rId607"/>
    <hyperlink xmlns:r="http://schemas.openxmlformats.org/officeDocument/2006/relationships" ref="E305" r:id="rId608"/>
    <hyperlink xmlns:r="http://schemas.openxmlformats.org/officeDocument/2006/relationships" ref="C306" r:id="rId609"/>
    <hyperlink xmlns:r="http://schemas.openxmlformats.org/officeDocument/2006/relationships" ref="E306" r:id="rId610"/>
    <hyperlink xmlns:r="http://schemas.openxmlformats.org/officeDocument/2006/relationships" ref="C307" r:id="rId611"/>
    <hyperlink xmlns:r="http://schemas.openxmlformats.org/officeDocument/2006/relationships" ref="E307" r:id="rId612"/>
    <hyperlink xmlns:r="http://schemas.openxmlformats.org/officeDocument/2006/relationships" ref="C308" r:id="rId613"/>
    <hyperlink xmlns:r="http://schemas.openxmlformats.org/officeDocument/2006/relationships" ref="E308" r:id="rId614"/>
    <hyperlink xmlns:r="http://schemas.openxmlformats.org/officeDocument/2006/relationships" ref="C309" r:id="rId615"/>
    <hyperlink xmlns:r="http://schemas.openxmlformats.org/officeDocument/2006/relationships" ref="E309" r:id="rId616"/>
    <hyperlink xmlns:r="http://schemas.openxmlformats.org/officeDocument/2006/relationships" ref="C310" r:id="rId617"/>
    <hyperlink xmlns:r="http://schemas.openxmlformats.org/officeDocument/2006/relationships" ref="E310" r:id="rId618"/>
    <hyperlink xmlns:r="http://schemas.openxmlformats.org/officeDocument/2006/relationships" ref="C311" r:id="rId619"/>
    <hyperlink xmlns:r="http://schemas.openxmlformats.org/officeDocument/2006/relationships" ref="E311" r:id="rId620"/>
    <hyperlink xmlns:r="http://schemas.openxmlformats.org/officeDocument/2006/relationships" ref="C312" r:id="rId621"/>
    <hyperlink xmlns:r="http://schemas.openxmlformats.org/officeDocument/2006/relationships" ref="E312" r:id="rId622"/>
    <hyperlink xmlns:r="http://schemas.openxmlformats.org/officeDocument/2006/relationships" ref="C313" r:id="rId623"/>
    <hyperlink xmlns:r="http://schemas.openxmlformats.org/officeDocument/2006/relationships" ref="E313" r:id="rId624"/>
    <hyperlink xmlns:r="http://schemas.openxmlformats.org/officeDocument/2006/relationships" ref="C314" r:id="rId625"/>
    <hyperlink xmlns:r="http://schemas.openxmlformats.org/officeDocument/2006/relationships" ref="E314" r:id="rId626"/>
    <hyperlink xmlns:r="http://schemas.openxmlformats.org/officeDocument/2006/relationships" ref="C315" r:id="rId627"/>
    <hyperlink xmlns:r="http://schemas.openxmlformats.org/officeDocument/2006/relationships" ref="E315" r:id="rId628"/>
    <hyperlink xmlns:r="http://schemas.openxmlformats.org/officeDocument/2006/relationships" ref="C316" r:id="rId629"/>
    <hyperlink xmlns:r="http://schemas.openxmlformats.org/officeDocument/2006/relationships" ref="E316" r:id="rId630"/>
    <hyperlink xmlns:r="http://schemas.openxmlformats.org/officeDocument/2006/relationships" ref="C317" r:id="rId631"/>
    <hyperlink xmlns:r="http://schemas.openxmlformats.org/officeDocument/2006/relationships" ref="E317" r:id="rId632"/>
    <hyperlink xmlns:r="http://schemas.openxmlformats.org/officeDocument/2006/relationships" ref="C318" r:id="rId633"/>
    <hyperlink xmlns:r="http://schemas.openxmlformats.org/officeDocument/2006/relationships" ref="E318" r:id="rId634"/>
    <hyperlink xmlns:r="http://schemas.openxmlformats.org/officeDocument/2006/relationships" ref="C319" r:id="rId635"/>
    <hyperlink xmlns:r="http://schemas.openxmlformats.org/officeDocument/2006/relationships" ref="E319" r:id="rId636"/>
    <hyperlink xmlns:r="http://schemas.openxmlformats.org/officeDocument/2006/relationships" ref="C320" r:id="rId637"/>
    <hyperlink xmlns:r="http://schemas.openxmlformats.org/officeDocument/2006/relationships" ref="E320" r:id="rId638"/>
    <hyperlink xmlns:r="http://schemas.openxmlformats.org/officeDocument/2006/relationships" ref="C321" r:id="rId639"/>
    <hyperlink xmlns:r="http://schemas.openxmlformats.org/officeDocument/2006/relationships" ref="E321" r:id="rId640"/>
    <hyperlink xmlns:r="http://schemas.openxmlformats.org/officeDocument/2006/relationships" ref="C322" r:id="rId641"/>
    <hyperlink xmlns:r="http://schemas.openxmlformats.org/officeDocument/2006/relationships" ref="E322" r:id="rId642"/>
    <hyperlink xmlns:r="http://schemas.openxmlformats.org/officeDocument/2006/relationships" ref="C323" r:id="rId643"/>
    <hyperlink xmlns:r="http://schemas.openxmlformats.org/officeDocument/2006/relationships" ref="E323" r:id="rId644"/>
    <hyperlink xmlns:r="http://schemas.openxmlformats.org/officeDocument/2006/relationships" ref="C324" r:id="rId645"/>
    <hyperlink xmlns:r="http://schemas.openxmlformats.org/officeDocument/2006/relationships" ref="E324" r:id="rId646"/>
    <hyperlink xmlns:r="http://schemas.openxmlformats.org/officeDocument/2006/relationships" ref="C325" r:id="rId647"/>
    <hyperlink xmlns:r="http://schemas.openxmlformats.org/officeDocument/2006/relationships" ref="E325" r:id="rId648"/>
    <hyperlink xmlns:r="http://schemas.openxmlformats.org/officeDocument/2006/relationships" ref="C326" r:id="rId649"/>
    <hyperlink xmlns:r="http://schemas.openxmlformats.org/officeDocument/2006/relationships" ref="E326" r:id="rId650"/>
    <hyperlink xmlns:r="http://schemas.openxmlformats.org/officeDocument/2006/relationships" ref="C327" r:id="rId651"/>
    <hyperlink xmlns:r="http://schemas.openxmlformats.org/officeDocument/2006/relationships" ref="E327" r:id="rId652"/>
    <hyperlink xmlns:r="http://schemas.openxmlformats.org/officeDocument/2006/relationships" ref="C328" r:id="rId653"/>
    <hyperlink xmlns:r="http://schemas.openxmlformats.org/officeDocument/2006/relationships" ref="E328" r:id="rId654"/>
    <hyperlink xmlns:r="http://schemas.openxmlformats.org/officeDocument/2006/relationships" ref="C329" r:id="rId655"/>
    <hyperlink xmlns:r="http://schemas.openxmlformats.org/officeDocument/2006/relationships" ref="E329" r:id="rId656"/>
    <hyperlink xmlns:r="http://schemas.openxmlformats.org/officeDocument/2006/relationships" ref="C330" r:id="rId657"/>
    <hyperlink xmlns:r="http://schemas.openxmlformats.org/officeDocument/2006/relationships" ref="E330" r:id="rId658"/>
    <hyperlink xmlns:r="http://schemas.openxmlformats.org/officeDocument/2006/relationships" ref="C331" r:id="rId659"/>
    <hyperlink xmlns:r="http://schemas.openxmlformats.org/officeDocument/2006/relationships" ref="E331" r:id="rId660"/>
    <hyperlink xmlns:r="http://schemas.openxmlformats.org/officeDocument/2006/relationships" ref="C332" r:id="rId661"/>
    <hyperlink xmlns:r="http://schemas.openxmlformats.org/officeDocument/2006/relationships" ref="E332" r:id="rId662"/>
    <hyperlink xmlns:r="http://schemas.openxmlformats.org/officeDocument/2006/relationships" ref="C333" r:id="rId663"/>
    <hyperlink xmlns:r="http://schemas.openxmlformats.org/officeDocument/2006/relationships" ref="E333" r:id="rId664"/>
    <hyperlink xmlns:r="http://schemas.openxmlformats.org/officeDocument/2006/relationships" ref="C334" r:id="rId665"/>
    <hyperlink xmlns:r="http://schemas.openxmlformats.org/officeDocument/2006/relationships" ref="E334" r:id="rId666"/>
    <hyperlink xmlns:r="http://schemas.openxmlformats.org/officeDocument/2006/relationships" ref="C335" r:id="rId667"/>
    <hyperlink xmlns:r="http://schemas.openxmlformats.org/officeDocument/2006/relationships" ref="E335" r:id="rId668"/>
    <hyperlink xmlns:r="http://schemas.openxmlformats.org/officeDocument/2006/relationships" ref="C336" r:id="rId669"/>
    <hyperlink xmlns:r="http://schemas.openxmlformats.org/officeDocument/2006/relationships" ref="E336" r:id="rId670"/>
    <hyperlink xmlns:r="http://schemas.openxmlformats.org/officeDocument/2006/relationships" ref="C337" r:id="rId671"/>
    <hyperlink xmlns:r="http://schemas.openxmlformats.org/officeDocument/2006/relationships" ref="E337" r:id="rId672"/>
    <hyperlink xmlns:r="http://schemas.openxmlformats.org/officeDocument/2006/relationships" ref="C338" r:id="rId673"/>
    <hyperlink xmlns:r="http://schemas.openxmlformats.org/officeDocument/2006/relationships" ref="E338" r:id="rId674"/>
    <hyperlink xmlns:r="http://schemas.openxmlformats.org/officeDocument/2006/relationships" ref="C339" r:id="rId675"/>
    <hyperlink xmlns:r="http://schemas.openxmlformats.org/officeDocument/2006/relationships" ref="E339" r:id="rId676"/>
    <hyperlink xmlns:r="http://schemas.openxmlformats.org/officeDocument/2006/relationships" ref="C340" r:id="rId677"/>
    <hyperlink xmlns:r="http://schemas.openxmlformats.org/officeDocument/2006/relationships" ref="E340" r:id="rId678"/>
    <hyperlink xmlns:r="http://schemas.openxmlformats.org/officeDocument/2006/relationships" ref="C341" r:id="rId679"/>
    <hyperlink xmlns:r="http://schemas.openxmlformats.org/officeDocument/2006/relationships" ref="E341" r:id="rId680"/>
    <hyperlink xmlns:r="http://schemas.openxmlformats.org/officeDocument/2006/relationships" ref="C342" r:id="rId681"/>
    <hyperlink xmlns:r="http://schemas.openxmlformats.org/officeDocument/2006/relationships" ref="E342" r:id="rId682"/>
    <hyperlink xmlns:r="http://schemas.openxmlformats.org/officeDocument/2006/relationships" ref="C343" r:id="rId683"/>
    <hyperlink xmlns:r="http://schemas.openxmlformats.org/officeDocument/2006/relationships" ref="E343" r:id="rId684"/>
    <hyperlink xmlns:r="http://schemas.openxmlformats.org/officeDocument/2006/relationships" ref="C344" r:id="rId685"/>
    <hyperlink xmlns:r="http://schemas.openxmlformats.org/officeDocument/2006/relationships" ref="E344" r:id="rId686"/>
    <hyperlink xmlns:r="http://schemas.openxmlformats.org/officeDocument/2006/relationships" ref="C345" r:id="rId687"/>
    <hyperlink xmlns:r="http://schemas.openxmlformats.org/officeDocument/2006/relationships" ref="E345" r:id="rId688"/>
    <hyperlink xmlns:r="http://schemas.openxmlformats.org/officeDocument/2006/relationships" ref="C346" r:id="rId689"/>
    <hyperlink xmlns:r="http://schemas.openxmlformats.org/officeDocument/2006/relationships" ref="E346" r:id="rId690"/>
    <hyperlink xmlns:r="http://schemas.openxmlformats.org/officeDocument/2006/relationships" ref="C347" r:id="rId691"/>
    <hyperlink xmlns:r="http://schemas.openxmlformats.org/officeDocument/2006/relationships" ref="E347" r:id="rId692"/>
    <hyperlink xmlns:r="http://schemas.openxmlformats.org/officeDocument/2006/relationships" ref="C348" r:id="rId693"/>
    <hyperlink xmlns:r="http://schemas.openxmlformats.org/officeDocument/2006/relationships" ref="E348" r:id="rId694"/>
    <hyperlink xmlns:r="http://schemas.openxmlformats.org/officeDocument/2006/relationships" ref="C349" r:id="rId695"/>
    <hyperlink xmlns:r="http://schemas.openxmlformats.org/officeDocument/2006/relationships" ref="E349" r:id="rId696"/>
    <hyperlink xmlns:r="http://schemas.openxmlformats.org/officeDocument/2006/relationships" ref="C350" r:id="rId697"/>
    <hyperlink xmlns:r="http://schemas.openxmlformats.org/officeDocument/2006/relationships" ref="E350" r:id="rId698"/>
    <hyperlink xmlns:r="http://schemas.openxmlformats.org/officeDocument/2006/relationships" ref="C351" r:id="rId699"/>
    <hyperlink xmlns:r="http://schemas.openxmlformats.org/officeDocument/2006/relationships" ref="E351" r:id="rId700"/>
    <hyperlink xmlns:r="http://schemas.openxmlformats.org/officeDocument/2006/relationships" ref="C352" r:id="rId701"/>
    <hyperlink xmlns:r="http://schemas.openxmlformats.org/officeDocument/2006/relationships" ref="E352" r:id="rId702"/>
    <hyperlink xmlns:r="http://schemas.openxmlformats.org/officeDocument/2006/relationships" ref="C353" r:id="rId703"/>
    <hyperlink xmlns:r="http://schemas.openxmlformats.org/officeDocument/2006/relationships" ref="E353" r:id="rId704"/>
    <hyperlink xmlns:r="http://schemas.openxmlformats.org/officeDocument/2006/relationships" ref="C354" r:id="rId705"/>
    <hyperlink xmlns:r="http://schemas.openxmlformats.org/officeDocument/2006/relationships" ref="E354" r:id="rId706"/>
    <hyperlink xmlns:r="http://schemas.openxmlformats.org/officeDocument/2006/relationships" ref="C355" r:id="rId707"/>
    <hyperlink xmlns:r="http://schemas.openxmlformats.org/officeDocument/2006/relationships" ref="E355" r:id="rId708"/>
    <hyperlink xmlns:r="http://schemas.openxmlformats.org/officeDocument/2006/relationships" ref="C356" r:id="rId709"/>
    <hyperlink xmlns:r="http://schemas.openxmlformats.org/officeDocument/2006/relationships" ref="E356" r:id="rId710"/>
    <hyperlink xmlns:r="http://schemas.openxmlformats.org/officeDocument/2006/relationships" ref="C357" r:id="rId711"/>
    <hyperlink xmlns:r="http://schemas.openxmlformats.org/officeDocument/2006/relationships" ref="E357" r:id="rId712"/>
    <hyperlink xmlns:r="http://schemas.openxmlformats.org/officeDocument/2006/relationships" ref="C358" r:id="rId713"/>
    <hyperlink xmlns:r="http://schemas.openxmlformats.org/officeDocument/2006/relationships" ref="E358" r:id="rId714"/>
    <hyperlink xmlns:r="http://schemas.openxmlformats.org/officeDocument/2006/relationships" ref="C359" r:id="rId715"/>
    <hyperlink xmlns:r="http://schemas.openxmlformats.org/officeDocument/2006/relationships" ref="E359" r:id="rId716"/>
    <hyperlink xmlns:r="http://schemas.openxmlformats.org/officeDocument/2006/relationships" ref="C360" r:id="rId717"/>
    <hyperlink xmlns:r="http://schemas.openxmlformats.org/officeDocument/2006/relationships" ref="E360" r:id="rId718"/>
    <hyperlink xmlns:r="http://schemas.openxmlformats.org/officeDocument/2006/relationships" ref="C361" r:id="rId719"/>
    <hyperlink xmlns:r="http://schemas.openxmlformats.org/officeDocument/2006/relationships" ref="E361" r:id="rId720"/>
    <hyperlink xmlns:r="http://schemas.openxmlformats.org/officeDocument/2006/relationships" ref="C362" r:id="rId721"/>
    <hyperlink xmlns:r="http://schemas.openxmlformats.org/officeDocument/2006/relationships" ref="E362" r:id="rId722"/>
    <hyperlink xmlns:r="http://schemas.openxmlformats.org/officeDocument/2006/relationships" ref="C363" r:id="rId723"/>
    <hyperlink xmlns:r="http://schemas.openxmlformats.org/officeDocument/2006/relationships" ref="E363" r:id="rId724"/>
    <hyperlink xmlns:r="http://schemas.openxmlformats.org/officeDocument/2006/relationships" ref="C364" r:id="rId725"/>
    <hyperlink xmlns:r="http://schemas.openxmlformats.org/officeDocument/2006/relationships" ref="E364" r:id="rId726"/>
    <hyperlink xmlns:r="http://schemas.openxmlformats.org/officeDocument/2006/relationships" ref="C365" r:id="rId727"/>
    <hyperlink xmlns:r="http://schemas.openxmlformats.org/officeDocument/2006/relationships" ref="E365" r:id="rId728"/>
    <hyperlink xmlns:r="http://schemas.openxmlformats.org/officeDocument/2006/relationships" ref="C366" r:id="rId729"/>
    <hyperlink xmlns:r="http://schemas.openxmlformats.org/officeDocument/2006/relationships" ref="E366" r:id="rId730"/>
    <hyperlink xmlns:r="http://schemas.openxmlformats.org/officeDocument/2006/relationships" ref="C367" r:id="rId731"/>
    <hyperlink xmlns:r="http://schemas.openxmlformats.org/officeDocument/2006/relationships" ref="E367" r:id="rId732"/>
    <hyperlink xmlns:r="http://schemas.openxmlformats.org/officeDocument/2006/relationships" ref="C368" r:id="rId733"/>
    <hyperlink xmlns:r="http://schemas.openxmlformats.org/officeDocument/2006/relationships" ref="E368" r:id="rId734"/>
    <hyperlink xmlns:r="http://schemas.openxmlformats.org/officeDocument/2006/relationships" ref="C369" r:id="rId735"/>
    <hyperlink xmlns:r="http://schemas.openxmlformats.org/officeDocument/2006/relationships" ref="E369" r:id="rId736"/>
    <hyperlink xmlns:r="http://schemas.openxmlformats.org/officeDocument/2006/relationships" ref="C370" r:id="rId737"/>
    <hyperlink xmlns:r="http://schemas.openxmlformats.org/officeDocument/2006/relationships" ref="E370" r:id="rId738"/>
    <hyperlink xmlns:r="http://schemas.openxmlformats.org/officeDocument/2006/relationships" ref="C371" r:id="rId739"/>
    <hyperlink xmlns:r="http://schemas.openxmlformats.org/officeDocument/2006/relationships" ref="E371" r:id="rId740"/>
    <hyperlink xmlns:r="http://schemas.openxmlformats.org/officeDocument/2006/relationships" ref="C372" r:id="rId741"/>
    <hyperlink xmlns:r="http://schemas.openxmlformats.org/officeDocument/2006/relationships" ref="E372" r:id="rId742"/>
    <hyperlink xmlns:r="http://schemas.openxmlformats.org/officeDocument/2006/relationships" ref="C373" r:id="rId743"/>
    <hyperlink xmlns:r="http://schemas.openxmlformats.org/officeDocument/2006/relationships" ref="E373" r:id="rId744"/>
    <hyperlink xmlns:r="http://schemas.openxmlformats.org/officeDocument/2006/relationships" ref="C374" r:id="rId745"/>
    <hyperlink xmlns:r="http://schemas.openxmlformats.org/officeDocument/2006/relationships" ref="E374" r:id="rId746"/>
    <hyperlink xmlns:r="http://schemas.openxmlformats.org/officeDocument/2006/relationships" ref="C375" r:id="rId747"/>
    <hyperlink xmlns:r="http://schemas.openxmlformats.org/officeDocument/2006/relationships" ref="E375" r:id="rId748"/>
    <hyperlink xmlns:r="http://schemas.openxmlformats.org/officeDocument/2006/relationships" ref="C376" r:id="rId749"/>
    <hyperlink xmlns:r="http://schemas.openxmlformats.org/officeDocument/2006/relationships" ref="E376" r:id="rId750"/>
    <hyperlink xmlns:r="http://schemas.openxmlformats.org/officeDocument/2006/relationships" ref="C377" r:id="rId751"/>
    <hyperlink xmlns:r="http://schemas.openxmlformats.org/officeDocument/2006/relationships" ref="E377" r:id="rId752"/>
    <hyperlink xmlns:r="http://schemas.openxmlformats.org/officeDocument/2006/relationships" ref="C378" r:id="rId753"/>
    <hyperlink xmlns:r="http://schemas.openxmlformats.org/officeDocument/2006/relationships" ref="E378" r:id="rId754"/>
    <hyperlink xmlns:r="http://schemas.openxmlformats.org/officeDocument/2006/relationships" ref="C379" r:id="rId755"/>
    <hyperlink xmlns:r="http://schemas.openxmlformats.org/officeDocument/2006/relationships" ref="E379" r:id="rId756"/>
    <hyperlink xmlns:r="http://schemas.openxmlformats.org/officeDocument/2006/relationships" ref="C380" r:id="rId757"/>
    <hyperlink xmlns:r="http://schemas.openxmlformats.org/officeDocument/2006/relationships" ref="E380" r:id="rId758"/>
    <hyperlink xmlns:r="http://schemas.openxmlformats.org/officeDocument/2006/relationships" ref="C381" r:id="rId759"/>
    <hyperlink xmlns:r="http://schemas.openxmlformats.org/officeDocument/2006/relationships" ref="E381" r:id="rId760"/>
    <hyperlink xmlns:r="http://schemas.openxmlformats.org/officeDocument/2006/relationships" ref="C382" r:id="rId761"/>
    <hyperlink xmlns:r="http://schemas.openxmlformats.org/officeDocument/2006/relationships" ref="E382" r:id="rId762"/>
    <hyperlink xmlns:r="http://schemas.openxmlformats.org/officeDocument/2006/relationships" ref="C383" r:id="rId763"/>
    <hyperlink xmlns:r="http://schemas.openxmlformats.org/officeDocument/2006/relationships" ref="E383" r:id="rId764"/>
    <hyperlink xmlns:r="http://schemas.openxmlformats.org/officeDocument/2006/relationships" ref="C384" r:id="rId765"/>
    <hyperlink xmlns:r="http://schemas.openxmlformats.org/officeDocument/2006/relationships" ref="E384" r:id="rId766"/>
    <hyperlink xmlns:r="http://schemas.openxmlformats.org/officeDocument/2006/relationships" ref="C385" r:id="rId767"/>
    <hyperlink xmlns:r="http://schemas.openxmlformats.org/officeDocument/2006/relationships" ref="E385" r:id="rId768"/>
    <hyperlink xmlns:r="http://schemas.openxmlformats.org/officeDocument/2006/relationships" ref="C386" r:id="rId769"/>
    <hyperlink xmlns:r="http://schemas.openxmlformats.org/officeDocument/2006/relationships" ref="E386" r:id="rId770"/>
    <hyperlink xmlns:r="http://schemas.openxmlformats.org/officeDocument/2006/relationships" ref="C387" r:id="rId771"/>
    <hyperlink xmlns:r="http://schemas.openxmlformats.org/officeDocument/2006/relationships" ref="E387" r:id="rId772"/>
    <hyperlink xmlns:r="http://schemas.openxmlformats.org/officeDocument/2006/relationships" ref="C388" r:id="rId773"/>
    <hyperlink xmlns:r="http://schemas.openxmlformats.org/officeDocument/2006/relationships" ref="E388" r:id="rId774"/>
    <hyperlink xmlns:r="http://schemas.openxmlformats.org/officeDocument/2006/relationships" ref="C389" r:id="rId775"/>
    <hyperlink xmlns:r="http://schemas.openxmlformats.org/officeDocument/2006/relationships" ref="E389" r:id="rId776"/>
    <hyperlink xmlns:r="http://schemas.openxmlformats.org/officeDocument/2006/relationships" ref="C390" r:id="rId777"/>
    <hyperlink xmlns:r="http://schemas.openxmlformats.org/officeDocument/2006/relationships" ref="E390" r:id="rId778"/>
    <hyperlink xmlns:r="http://schemas.openxmlformats.org/officeDocument/2006/relationships" ref="C391" r:id="rId779"/>
    <hyperlink xmlns:r="http://schemas.openxmlformats.org/officeDocument/2006/relationships" ref="E391" r:id="rId780"/>
    <hyperlink xmlns:r="http://schemas.openxmlformats.org/officeDocument/2006/relationships" ref="C392" r:id="rId781"/>
    <hyperlink xmlns:r="http://schemas.openxmlformats.org/officeDocument/2006/relationships" ref="E392" r:id="rId782"/>
    <hyperlink xmlns:r="http://schemas.openxmlformats.org/officeDocument/2006/relationships" ref="C393" r:id="rId783"/>
    <hyperlink xmlns:r="http://schemas.openxmlformats.org/officeDocument/2006/relationships" ref="E393" r:id="rId784"/>
    <hyperlink xmlns:r="http://schemas.openxmlformats.org/officeDocument/2006/relationships" ref="C394" r:id="rId785"/>
    <hyperlink xmlns:r="http://schemas.openxmlformats.org/officeDocument/2006/relationships" ref="E394" r:id="rId786"/>
    <hyperlink xmlns:r="http://schemas.openxmlformats.org/officeDocument/2006/relationships" ref="C395" r:id="rId787"/>
    <hyperlink xmlns:r="http://schemas.openxmlformats.org/officeDocument/2006/relationships" ref="E395" r:id="rId788"/>
    <hyperlink xmlns:r="http://schemas.openxmlformats.org/officeDocument/2006/relationships" ref="C396" r:id="rId789"/>
    <hyperlink xmlns:r="http://schemas.openxmlformats.org/officeDocument/2006/relationships" ref="E396" r:id="rId790"/>
    <hyperlink xmlns:r="http://schemas.openxmlformats.org/officeDocument/2006/relationships" ref="C397" r:id="rId791"/>
    <hyperlink xmlns:r="http://schemas.openxmlformats.org/officeDocument/2006/relationships" ref="E397" r:id="rId792"/>
    <hyperlink xmlns:r="http://schemas.openxmlformats.org/officeDocument/2006/relationships" ref="C398" r:id="rId793"/>
    <hyperlink xmlns:r="http://schemas.openxmlformats.org/officeDocument/2006/relationships" ref="E398" r:id="rId794"/>
    <hyperlink xmlns:r="http://schemas.openxmlformats.org/officeDocument/2006/relationships" ref="C399" r:id="rId795"/>
    <hyperlink xmlns:r="http://schemas.openxmlformats.org/officeDocument/2006/relationships" ref="E399" r:id="rId796"/>
    <hyperlink xmlns:r="http://schemas.openxmlformats.org/officeDocument/2006/relationships" ref="C400" r:id="rId797"/>
    <hyperlink xmlns:r="http://schemas.openxmlformats.org/officeDocument/2006/relationships" ref="E400" r:id="rId798"/>
    <hyperlink xmlns:r="http://schemas.openxmlformats.org/officeDocument/2006/relationships" ref="C401" r:id="rId799"/>
    <hyperlink xmlns:r="http://schemas.openxmlformats.org/officeDocument/2006/relationships" ref="E401" r:id="rId8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2026-08-08T20:27:54Z</dcterms:created>
  <dcterms:modified xsi:type="dcterms:W3CDTF">2026-08-08T20:27:54Z</dcterms:modified>
</cp:coreProperties>
</file>